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писание" sheetId="1" state="visible" r:id="rId3"/>
    <sheet name="KPI" sheetId="2" state="visible" r:id="rId4"/>
    <sheet name="MRR водопад" sheetId="3" state="visible" r:id="rId5"/>
    <sheet name="Когорты удержание" sheetId="4" state="visible" r:id="rId6"/>
    <sheet name="Каналы" sheetId="5" state="visible" r:id="rId7"/>
    <sheet name="Дожитие" sheetId="6" state="visible" r:id="rId8"/>
    <sheet name="Модель риска" sheetId="7" state="visible" r:id="rId9"/>
    <sheet name="Сегменты" sheetId="8" state="visible" r:id="rId10"/>
    <sheet name="Отток модель" sheetId="9" state="visible" r:id="rId11"/>
    <sheet name="Топ риска" sheetId="10" state="visible" r:id="rId12"/>
    <sheet name="Эксперимент" sheetId="11" state="visible" r:id="rId13"/>
    <sheet name="Прогноз" sheetId="12" state="visible" r:id="rId14"/>
    <sheet name="Сверка с правдой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<sst xmlns="http://schemas.openxmlformats.org/spreadsheetml/2006/main" count="345" uniqueCount="261">
  <si>
    <t xml:space="preserve">Аналитика онлайн кинотеатра: выгрузка результатов</t>
  </si>
  <si>
    <t xml:space="preserve">Данные синтетические, их придумал генератор. Листы собраны автоматически скриптом run_all.py.</t>
  </si>
  <si>
    <t xml:space="preserve">Листы:</t>
  </si>
  <si>
    <t xml:space="preserve">KPI: главные цифры</t>
  </si>
  <si>
    <t xml:space="preserve">MRR водопад: движение MRR по месяцам, NRR и GRR посчитаны формулами</t>
  </si>
  <si>
    <t xml:space="preserve">Когорты удержание: доля людей, которые еще платят, по месяцам жизни</t>
  </si>
  <si>
    <t xml:space="preserve">Каналы: конверсия, цена регистрации, выручка за 180 дней</t>
  </si>
  <si>
    <t xml:space="preserve">Дожитие: медианы и доли живых подписок по каналам</t>
  </si>
  <si>
    <t xml:space="preserve">Модель риска: оценки логистической модели и значения, заложенные в генераторе</t>
  </si>
  <si>
    <t xml:space="preserve">Сегменты: портреты четырех сегментов зрителей</t>
  </si>
  <si>
    <t xml:space="preserve">Отток модель: качество модели и самые важные признаки</t>
  </si>
  <si>
    <t xml:space="preserve">Топ риска: 200 подписчиков с наибольшим шансом отмены в ближайшие 4 недели</t>
  </si>
  <si>
    <t xml:space="preserve">Эксперимент: итоги A/B теста и подгруппы</t>
  </si>
  <si>
    <t xml:space="preserve">Прогноз: регистрации на 28 дней вперед с интервалом</t>
  </si>
  <si>
    <t xml:space="preserve">Сверка с правдой: что оценили и что на самом деле заложено</t>
  </si>
  <si>
    <t xml:space="preserve">Показатель</t>
  </si>
  <si>
    <t xml:space="preserve">Значение</t>
  </si>
  <si>
    <t xml:space="preserve">MRR на конец данных, руб</t>
  </si>
  <si>
    <t xml:space="preserve">Платящих подписчиков</t>
  </si>
  <si>
    <t xml:space="preserve">Годовой NRR (произведение 12 месяцев)</t>
  </si>
  <si>
    <t xml:space="preserve">Медианный месячный GRR</t>
  </si>
  <si>
    <t xml:space="preserve">Удержание через 3 месяца, %</t>
  </si>
  <si>
    <t xml:space="preserve">Удержание через 6 месяцев, %</t>
  </si>
  <si>
    <t xml:space="preserve">Лучший канал по окупаемости</t>
  </si>
  <si>
    <t xml:space="preserve">referral</t>
  </si>
  <si>
    <t xml:space="preserve">Худший канал по окупаемости</t>
  </si>
  <si>
    <t xml:space="preserve">social</t>
  </si>
  <si>
    <t xml:space="preserve">Конец месяца</t>
  </si>
  <si>
    <t xml:space="preserve">MRR на начало</t>
  </si>
  <si>
    <t xml:space="preserve">Новые</t>
  </si>
  <si>
    <t xml:space="preserve">Вернувшиеся</t>
  </si>
  <si>
    <t xml:space="preserve">Апгрейд</t>
  </si>
  <si>
    <t xml:space="preserve">Рост цены</t>
  </si>
  <si>
    <t xml:space="preserve">Даунгрейд</t>
  </si>
  <si>
    <t xml:space="preserve">Уход</t>
  </si>
  <si>
    <t xml:space="preserve">MRR на конец</t>
  </si>
  <si>
    <t xml:space="preserve">Подписчиков</t>
  </si>
  <si>
    <t xml:space="preserve">Проверка: начало плюс все компоненты минус конец</t>
  </si>
  <si>
    <t xml:space="preserve">NRR</t>
  </si>
  <si>
    <t xml:space="preserve">GRR</t>
  </si>
  <si>
    <t xml:space="preserve">2024-01-31</t>
  </si>
  <si>
    <t xml:space="preserve">2024-02-29</t>
  </si>
  <si>
    <t xml:space="preserve">2024-03-31</t>
  </si>
  <si>
    <t xml:space="preserve">2024-04-30</t>
  </si>
  <si>
    <t xml:space="preserve">2024-05-31</t>
  </si>
  <si>
    <t xml:space="preserve">2024-06-30</t>
  </si>
  <si>
    <t xml:space="preserve">2024-07-31</t>
  </si>
  <si>
    <t xml:space="preserve">2024-08-31</t>
  </si>
  <si>
    <t xml:space="preserve">2024-09-30</t>
  </si>
  <si>
    <t xml:space="preserve">2024-10-31</t>
  </si>
  <si>
    <t xml:space="preserve">2024-11-30</t>
  </si>
  <si>
    <t xml:space="preserve">2024-12-31</t>
  </si>
  <si>
    <t xml:space="preserve">2025-01-31</t>
  </si>
  <si>
    <t xml:space="preserve">2025-02-28</t>
  </si>
  <si>
    <t xml:space="preserve">2025-03-31</t>
  </si>
  <si>
    <t xml:space="preserve">2025-04-30</t>
  </si>
  <si>
    <t xml:space="preserve">2025-05-31</t>
  </si>
  <si>
    <t xml:space="preserve">2025-06-30</t>
  </si>
  <si>
    <t xml:space="preserve">2025-07-31</t>
  </si>
  <si>
    <t xml:space="preserve">2025-08-31</t>
  </si>
  <si>
    <t xml:space="preserve">2025-09-30</t>
  </si>
  <si>
    <t xml:space="preserve">2025-10-31</t>
  </si>
  <si>
    <t xml:space="preserve">2025-11-30</t>
  </si>
  <si>
    <t xml:space="preserve">2025-12-31</t>
  </si>
  <si>
    <t xml:space="preserve">Примечание: NRR не включает вернувшихся (реактивации), GRR не включает рост (апгрейд и цену).</t>
  </si>
  <si>
    <t xml:space="preserve">Когорта (месяц первой оплаты)</t>
  </si>
  <si>
    <t xml:space="preserve">Людей</t>
  </si>
  <si>
    <t xml:space="preserve">мес 0</t>
  </si>
  <si>
    <t xml:space="preserve">мес 1</t>
  </si>
  <si>
    <t xml:space="preserve">мес 2</t>
  </si>
  <si>
    <t xml:space="preserve">мес 3</t>
  </si>
  <si>
    <t xml:space="preserve">мес 4</t>
  </si>
  <si>
    <t xml:space="preserve">мес 5</t>
  </si>
  <si>
    <t xml:space="preserve">мес 6</t>
  </si>
  <si>
    <t xml:space="preserve">мес 7</t>
  </si>
  <si>
    <t xml:space="preserve">мес 8</t>
  </si>
  <si>
    <t xml:space="preserve">мес 9</t>
  </si>
  <si>
    <t xml:space="preserve">мес 10</t>
  </si>
  <si>
    <t xml:space="preserve">мес 11</t>
  </si>
  <si>
    <t xml:space="preserve">мес 12</t>
  </si>
  <si>
    <t xml:space="preserve">мес 13</t>
  </si>
  <si>
    <t xml:space="preserve">мес 14</t>
  </si>
  <si>
    <t xml:space="preserve">мес 15</t>
  </si>
  <si>
    <t xml:space="preserve">мес 16</t>
  </si>
  <si>
    <t xml:space="preserve">мес 17</t>
  </si>
  <si>
    <t xml:space="preserve">мес 18</t>
  </si>
  <si>
    <t xml:space="preserve">мес 19</t>
  </si>
  <si>
    <t xml:space="preserve">мес 20</t>
  </si>
  <si>
    <t xml:space="preserve">мес 21</t>
  </si>
  <si>
    <t xml:space="preserve">мес 22</t>
  </si>
  <si>
    <t xml:space="preserve">мес 23</t>
  </si>
  <si>
    <t xml:space="preserve">Канал</t>
  </si>
  <si>
    <t xml:space="preserve">Регистраций</t>
  </si>
  <si>
    <t xml:space="preserve">Активировались</t>
  </si>
  <si>
    <t xml:space="preserve">Платящих</t>
  </si>
  <si>
    <t xml:space="preserve">Активация, %</t>
  </si>
  <si>
    <t xml:space="preserve">Конверсия в платящих, %</t>
  </si>
  <si>
    <t xml:space="preserve">Затраты, руб</t>
  </si>
  <si>
    <t xml:space="preserve">Цена регистрации, руб</t>
  </si>
  <si>
    <t xml:space="preserve">Выручка за 180 дней на регистрацию, руб</t>
  </si>
  <si>
    <t xml:space="preserve">Окупаемость</t>
  </si>
  <si>
    <t xml:space="preserve">partner</t>
  </si>
  <si>
    <t xml:space="preserve">search</t>
  </si>
  <si>
    <t xml:space="preserve">organic</t>
  </si>
  <si>
    <t xml:space="preserve">Подписок</t>
  </si>
  <si>
    <t xml:space="preserve">Медиана, недель</t>
  </si>
  <si>
    <t xml:space="preserve">Живы через 13 недель</t>
  </si>
  <si>
    <t xml:space="preserve">Через 26</t>
  </si>
  <si>
    <t xml:space="preserve">Через 52</t>
  </si>
  <si>
    <t xml:space="preserve">Признак</t>
  </si>
  <si>
    <t xml:space="preserve">Коэффициент (лог риска)</t>
  </si>
  <si>
    <t xml:space="preserve">Ошибка</t>
  </si>
  <si>
    <t xml:space="preserve">Нижняя граница</t>
  </si>
  <si>
    <t xml:space="preserve">Верхняя граница</t>
  </si>
  <si>
    <t xml:space="preserve">Отношение рисков</t>
  </si>
  <si>
    <t xml:space="preserve">Заложено</t>
  </si>
  <si>
    <t xml:space="preserve">intercept</t>
  </si>
  <si>
    <t xml:space="preserve">basic</t>
  </si>
  <si>
    <t xml:space="preserve">premium</t>
  </si>
  <si>
    <t xml:space="preserve">tv</t>
  </si>
  <si>
    <t xml:space="preserve">web</t>
  </si>
  <si>
    <t xml:space="preserve">activated</t>
  </si>
  <si>
    <t xml:space="preserve">engagement_per_log_hour</t>
  </si>
  <si>
    <t xml:space="preserve">hike</t>
  </si>
  <si>
    <t xml:space="preserve">summer</t>
  </si>
  <si>
    <t xml:space="preserve">tenure_4_8</t>
  </si>
  <si>
    <t xml:space="preserve">tenure_8_16</t>
  </si>
  <si>
    <t xml:space="preserve">tenure_16_plus</t>
  </si>
  <si>
    <t xml:space="preserve">Сегмент</t>
  </si>
  <si>
    <t xml:space="preserve">Часов в неделю</t>
  </si>
  <si>
    <t xml:space="preserve">Часов за сессию</t>
  </si>
  <si>
    <t xml:space="preserve">Названий за сессию</t>
  </si>
  <si>
    <t xml:space="preserve">Доля выходных</t>
  </si>
  <si>
    <t xml:space="preserve">Разброс по неделям</t>
  </si>
  <si>
    <t xml:space="preserve">Доля людей</t>
  </si>
  <si>
    <t xml:space="preserve">S1 марафонцы</t>
  </si>
  <si>
    <t xml:space="preserve">S2 выходные</t>
  </si>
  <si>
    <t xml:space="preserve">S3 обычные</t>
  </si>
  <si>
    <t xml:space="preserve">S4 редкие зрители</t>
  </si>
  <si>
    <t xml:space="preserve">Модель</t>
  </si>
  <si>
    <t xml:space="preserve">AUC</t>
  </si>
  <si>
    <t xml:space="preserve">PR AUC</t>
  </si>
  <si>
    <t xml:space="preserve">Brier</t>
  </si>
  <si>
    <t xml:space="preserve">LogLoss</t>
  </si>
  <si>
    <t xml:space="preserve">Доля уходящих на тесте</t>
  </si>
  <si>
    <t xml:space="preserve">logreg</t>
  </si>
  <si>
    <t xml:space="preserve">gbm</t>
  </si>
  <si>
    <t xml:space="preserve">правило: часы упали</t>
  </si>
  <si>
    <t xml:space="preserve">Важность признаков (перестановочная)</t>
  </si>
  <si>
    <t xml:space="preserve">Падение AUC при перемешивании</t>
  </si>
  <si>
    <t xml:space="preserve">Разброс</t>
  </si>
  <si>
    <t xml:space="preserve">hours_ratio</t>
  </si>
  <si>
    <t xml:space="preserve">hours_l2</t>
  </si>
  <si>
    <t xml:space="preserve">tenure_weeks</t>
  </si>
  <si>
    <t xml:space="preserve">weeks_on_plan</t>
  </si>
  <si>
    <t xml:space="preserve">hours_cv8</t>
  </si>
  <si>
    <t xml:space="preserve">hours_l4</t>
  </si>
  <si>
    <t xml:space="preserve">hours_trend</t>
  </si>
  <si>
    <t xml:space="preserve">plan_premium</t>
  </si>
  <si>
    <t xml:space="preserve">ch_social</t>
  </si>
  <si>
    <t xml:space="preserve">plan_basic</t>
  </si>
  <si>
    <t xml:space="preserve">dev_tv</t>
  </si>
  <si>
    <t xml:space="preserve">titles_l4</t>
  </si>
  <si>
    <t xml:space="preserve">sessions_l4</t>
  </si>
  <si>
    <t xml:space="preserve">ch_referral</t>
  </si>
  <si>
    <t xml:space="preserve">dev_web</t>
  </si>
  <si>
    <t xml:space="preserve">user_id</t>
  </si>
  <si>
    <t xml:space="preserve">Риск отмены за 4 недели</t>
  </si>
  <si>
    <t xml:space="preserve">Часы: 2 недели к прошлым 8</t>
  </si>
  <si>
    <t xml:space="preserve">Часов за 2 недели</t>
  </si>
  <si>
    <t xml:space="preserve">Возраст подписки, недель</t>
  </si>
  <si>
    <t xml:space="preserve">Тариф basic</t>
  </si>
  <si>
    <t xml:space="preserve">Тариф premium</t>
  </si>
  <si>
    <t xml:space="preserve">Уходят без оффера</t>
  </si>
  <si>
    <t xml:space="preserve">Уходят с оффером</t>
  </si>
  <si>
    <t xml:space="preserve">Разница, п.п.</t>
  </si>
  <si>
    <t xml:space="preserve">Интервал бутстреп, нижняя, п.п.</t>
  </si>
  <si>
    <t xml:space="preserve">Интервал бутстреп, верхняя, п.п.</t>
  </si>
  <si>
    <t xml:space="preserve">p перестановочного теста</t>
  </si>
  <si>
    <t xml:space="preserve">Людей в группе оффера</t>
  </si>
  <si>
    <t xml:space="preserve">Людей в контроле</t>
  </si>
  <si>
    <t xml:space="preserve">Эффект по терцилям падения часов (доли, не п.п.)</t>
  </si>
  <si>
    <t xml:space="preserve">Падение часов (терциль)</t>
  </si>
  <si>
    <t xml:space="preserve">Эффект</t>
  </si>
  <si>
    <t xml:space="preserve">Нижняя</t>
  </si>
  <si>
    <t xml:space="preserve">Верхняя</t>
  </si>
  <si>
    <t xml:space="preserve">1/3</t>
  </si>
  <si>
    <t xml:space="preserve">2/3</t>
  </si>
  <si>
    <t xml:space="preserve">3/3</t>
  </si>
  <si>
    <t xml:space="preserve">Дата</t>
  </si>
  <si>
    <t xml:space="preserve">Прогноз</t>
  </si>
  <si>
    <t xml:space="preserve">Нижняя граница 90%</t>
  </si>
  <si>
    <t xml:space="preserve">Верхняя граница 90%</t>
  </si>
  <si>
    <t xml:space="preserve">2025-12-29</t>
  </si>
  <si>
    <t xml:space="preserve">2025-12-30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</si>
  <si>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</si>
  <si>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</si>
  <si>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</si>
  <si>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</si>
  <si>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</si>
  <si>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</si>
  <si>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</si>
  <si>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</si>
  <si>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</si>
  <si>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</si>
  <si>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</si>
  <si>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</si>
  <si>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</si>
  <si>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</si>
  <si>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</si>
  <si>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</si>
  <si>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</si>
  <si>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</si>
  <si>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</si>
  <si>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</si>
  <si>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</si>
  <si>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</si>
  <si>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</si>
  <si>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</si>
  <si>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</si>
  <si>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Итого за 28 дней</t>
  </si>
  <si>
    <t xml:space="preserve">Лучший метод по скользящей проверке</t>
  </si>
  <si>
    <t xml:space="preserve">ridge_calendar</t>
  </si>
  <si>
    <t xml:space="preserve">Блок</t>
  </si>
  <si>
    <t xml:space="preserve">Что оценивали</t>
  </si>
  <si>
    <t xml:space="preserve">Оценка</t>
  </si>
  <si>
    <t xml:space="preserve">Единицы</t>
  </si>
  <si>
    <t xml:space="preserve">Правда внутри интервала</t>
  </si>
  <si>
    <t xml:space="preserve">модель риска</t>
  </si>
  <si>
    <t xml:space="preserve">риск ухода, канал social</t>
  </si>
  <si>
    <t xml:space="preserve">лог риска</t>
  </si>
  <si>
    <t xml:space="preserve">да</t>
  </si>
  <si>
    <t xml:space="preserve">риск ухода, канал referral</t>
  </si>
  <si>
    <t xml:space="preserve">нет</t>
  </si>
  <si>
    <t xml:space="preserve">риск ухода, канал partner</t>
  </si>
  <si>
    <t xml:space="preserve">риск ухода, канал search</t>
  </si>
  <si>
    <t xml:space="preserve">риск ухода, тариф basic</t>
  </si>
  <si>
    <t xml:space="preserve">риск ухода, тариф premium</t>
  </si>
  <si>
    <t xml:space="preserve">риск ухода, устройство tv</t>
  </si>
  <si>
    <t xml:space="preserve">риск ухода, устройство web</t>
  </si>
  <si>
    <t xml:space="preserve">риск ухода, вовлеченность</t>
  </si>
  <si>
    <t xml:space="preserve">риск ухода, повышение цены</t>
  </si>
  <si>
    <t xml:space="preserve">риск ухода, лето</t>
  </si>
  <si>
    <t xml:space="preserve">A/B оффер</t>
  </si>
  <si>
    <t xml:space="preserve">эффект оффера на уход за 4 недели</t>
  </si>
  <si>
    <t xml:space="preserve">п.п.</t>
  </si>
  <si>
    <t xml:space="preserve">эффект для типа persuadable</t>
  </si>
  <si>
    <t xml:space="preserve">эффект для типа sure_thing</t>
  </si>
  <si>
    <t xml:space="preserve">эффект для типа lost_cause</t>
  </si>
  <si>
    <t xml:space="preserve">эффект для типа sleeping_dog</t>
  </si>
  <si>
    <t xml:space="preserve">повышение цены</t>
  </si>
  <si>
    <t xml:space="preserve">difference in differences, недельный отток</t>
  </si>
  <si>
    <t xml:space="preserve">наивное сравнение до и после</t>
  </si>
  <si>
    <t xml:space="preserve">качество данных</t>
  </si>
  <si>
    <t xml:space="preserve">найдено: дубли платежей</t>
  </si>
  <si>
    <t xml:space="preserve">строк</t>
  </si>
  <si>
    <t xml:space="preserve">найдено: успешные платежи с нулем</t>
  </si>
  <si>
    <t xml:space="preserve">найдено: платеж раньше регистрации</t>
  </si>
  <si>
    <t xml:space="preserve">найдено: пустой регион</t>
  </si>
  <si>
    <t xml:space="preserve">найдено: отрицательные часы</t>
  </si>
  <si>
    <t xml:space="preserve">найдено: пересекающиеся подписки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</si>
</sst>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%"/>
    <numFmt numFmtId="167" formatCode="0.0"/>
    <numFmt numFmtId="168" formatCode="#,##0;\-#,##0;\-"/>
    <numFmt numFmtId="169" formatCode="#,##0.00;\-#,##0.00;\-"/>
    <numFmt numFmtId="170" formatCode="0%"/>
    <numFmt numFmtId="171" formatCode="0.000"/>
    <numFmt numFmtId="172" formatCode="0.00"/>
    <numFmt numFmtId="173" formatCode="0.0000"/>
    <numFmt numFmtId="174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E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3" t="s">
        <v>15</v>
      </c>
      <c r="B1" s="3" t="s">
        <v>16</v>
      </c>
    </row>
    <row r="2" customFormat="false" ht="15" hidden="false" customHeight="false" outlineLevel="0" collapsed="false">
      <c r="A2" s="2" t="s">
        <v>17</v>
      </c>
      <c r="B2" s="4" t="n">
        <v>8129821.66666667</v>
      </c>
    </row>
    <row r="3" customFormat="false" ht="15" hidden="false" customHeight="false" outlineLevel="0" collapsed="false">
      <c r="A3" s="2" t="s">
        <v>18</v>
      </c>
      <c r="B3" s="4" t="n">
        <v>15437</v>
      </c>
    </row>
    <row r="4" customFormat="false" ht="15" hidden="false" customHeight="false" outlineLevel="0" collapsed="false">
      <c r="A4" s="2" t="s">
        <v>19</v>
      </c>
      <c r="B4" s="5" t="n">
        <v>0.531087925595005</v>
      </c>
    </row>
    <row r="5" customFormat="false" ht="15" hidden="false" customHeight="false" outlineLevel="0" collapsed="false">
      <c r="A5" s="2" t="s">
        <v>20</v>
      </c>
      <c r="B5" s="5" t="n">
        <v>0.935256431926717</v>
      </c>
    </row>
    <row r="6" customFormat="false" ht="15" hidden="false" customHeight="false" outlineLevel="0" collapsed="false">
      <c r="A6" s="2" t="s">
        <v>21</v>
      </c>
      <c r="B6" s="6" t="n">
        <v>76.6424350804179</v>
      </c>
    </row>
    <row r="7" customFormat="false" ht="15" hidden="false" customHeight="false" outlineLevel="0" collapsed="false">
      <c r="A7" s="2" t="s">
        <v>22</v>
      </c>
      <c r="B7" s="6" t="n">
        <v>66.3896965950652</v>
      </c>
    </row>
    <row r="8" customFormat="false" ht="15" hidden="false" customHeight="false" outlineLevel="0" collapsed="false">
      <c r="A8" s="2" t="s">
        <v>23</v>
      </c>
      <c r="B8" s="2" t="s">
        <v>24</v>
      </c>
    </row>
    <row r="9" customFormat="false" ht="15" hidden="false" customHeight="false" outlineLevel="0" collapsed="false">
      <c r="A9" s="2" t="s">
        <v>25</v>
      </c>
      <c r="B9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20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21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48"/>
    <col collapsed="false" customWidth="true" hidden="false" outlineLevel="0" max="12" min="12" style="0" width="41"/>
    <col collapsed="false" customWidth="true" hidden="false" outlineLevel="0" max="13" min="13" style="0" width="33"/>
  </cols>
  <sheetData>
    <row r="1" customFormat="false" ht="42" hidden="false" customHeight="true" outlineLevel="0" collapsed="false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customFormat="false" ht="15" hidden="false" customHeight="false" outlineLevel="0" collapsed="false">
      <c r="A2" s="2" t="s">
        <v>40</v>
      </c>
      <c r="B2" s="7" t="n">
        <v>0</v>
      </c>
      <c r="C2" s="7" t="n">
        <v>260126.166666667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260126.166666667</v>
      </c>
      <c r="J2" s="2" t="n">
        <v>552</v>
      </c>
      <c r="K2" s="8" t="n">
        <f aca="false">ROUND(SUM(B2:H2)-I2,2)</f>
        <v>0</v>
      </c>
      <c r="L2" s="5" t="str">
        <f aca="false">IF(B2=0,"",(B2+E2+F2+G2+H2)/B2)</f>
        <v/>
      </c>
      <c r="M2" s="5" t="str">
        <f aca="false">IF(B2=0,"",(B2+G2+H2)/B2)</f>
        <v/>
      </c>
    </row>
    <row r="3" customFormat="false" ht="15" hidden="false" customHeight="false" outlineLevel="0" collapsed="false">
      <c r="A3" s="2" t="s">
        <v>41</v>
      </c>
      <c r="B3" s="7" t="n">
        <v>260126.166666667</v>
      </c>
      <c r="C3" s="7" t="n">
        <v>426130</v>
      </c>
      <c r="D3" s="7" t="n">
        <v>0</v>
      </c>
      <c r="E3" s="7" t="n">
        <v>2500</v>
      </c>
      <c r="F3" s="7" t="n">
        <v>0</v>
      </c>
      <c r="G3" s="7" t="n">
        <v>-600</v>
      </c>
      <c r="H3" s="7" t="n">
        <v>-14368</v>
      </c>
      <c r="I3" s="7" t="n">
        <v>673788.166666667</v>
      </c>
      <c r="J3" s="2" t="n">
        <v>1429</v>
      </c>
      <c r="K3" s="8" t="n">
        <f aca="false">ROUND(SUM(B3:H3)-I3,2)</f>
        <v>0</v>
      </c>
      <c r="L3" s="5" t="n">
        <f aca="false">IF(B3=0,"",(B3+E3+F3+G3+H3)/B3)</f>
        <v>0.952069412471</v>
      </c>
      <c r="M3" s="5" t="n">
        <f aca="false">IF(B3=0,"",(B3+G3+H3)/B3)</f>
        <v>0.942458691519564</v>
      </c>
    </row>
    <row r="4" customFormat="false" ht="15" hidden="false" customHeight="false" outlineLevel="0" collapsed="false">
      <c r="A4" s="2" t="s">
        <v>42</v>
      </c>
      <c r="B4" s="7" t="n">
        <v>673788.166666667</v>
      </c>
      <c r="C4" s="7" t="n">
        <v>471937.166666667</v>
      </c>
      <c r="D4" s="7" t="n">
        <v>0</v>
      </c>
      <c r="E4" s="7" t="n">
        <v>5100</v>
      </c>
      <c r="F4" s="7" t="n">
        <v>0</v>
      </c>
      <c r="G4" s="7" t="n">
        <v>-1800</v>
      </c>
      <c r="H4" s="7" t="n">
        <v>-56074</v>
      </c>
      <c r="I4" s="7" t="n">
        <v>1092951.33333333</v>
      </c>
      <c r="J4" s="2" t="n">
        <v>2302</v>
      </c>
      <c r="K4" s="8" t="n">
        <f aca="false">ROUND(SUM(B4:H4)-I4,2)</f>
        <v>0</v>
      </c>
      <c r="L4" s="5" t="n">
        <f aca="false">IF(B4=0,"",(B4+E4+F4+G4+H4)/B4)</f>
        <v>0.921675679967665</v>
      </c>
      <c r="M4" s="5" t="n">
        <f aca="false">IF(B4=0,"",(B4+G4+H4)/B4)</f>
        <v>0.914106535461566</v>
      </c>
    </row>
    <row r="5" customFormat="false" ht="15" hidden="false" customHeight="false" outlineLevel="0" collapsed="false">
      <c r="A5" s="2" t="s">
        <v>43</v>
      </c>
      <c r="B5" s="7" t="n">
        <v>1092951.33333333</v>
      </c>
      <c r="C5" s="7" t="n">
        <v>462393.666666667</v>
      </c>
      <c r="D5" s="7" t="n">
        <v>799</v>
      </c>
      <c r="E5" s="7" t="n">
        <v>8600</v>
      </c>
      <c r="F5" s="7" t="n">
        <v>0</v>
      </c>
      <c r="G5" s="7" t="n">
        <v>-1800</v>
      </c>
      <c r="H5" s="7" t="n">
        <v>-78123</v>
      </c>
      <c r="I5" s="7" t="n">
        <v>1484821</v>
      </c>
      <c r="J5" s="2" t="n">
        <v>3099</v>
      </c>
      <c r="K5" s="8" t="n">
        <f aca="false">ROUND(SUM(B5:H5)-I5,2)</f>
        <v>0</v>
      </c>
      <c r="L5" s="5" t="n">
        <f aca="false">IF(B5=0,"",(B5+E5+F5+G5+H5)/B5)</f>
        <v>0.934742748533482</v>
      </c>
      <c r="M5" s="5" t="n">
        <f aca="false">IF(B5=0,"",(B5+G5+H5)/B5)</f>
        <v>0.926874145661868</v>
      </c>
    </row>
    <row r="6" customFormat="false" ht="15" hidden="false" customHeight="false" outlineLevel="0" collapsed="false">
      <c r="A6" s="2" t="s">
        <v>44</v>
      </c>
      <c r="B6" s="7" t="n">
        <v>1484821</v>
      </c>
      <c r="C6" s="7" t="n">
        <v>471959</v>
      </c>
      <c r="D6" s="7" t="n">
        <v>2493</v>
      </c>
      <c r="E6" s="7" t="n">
        <v>10200</v>
      </c>
      <c r="F6" s="7" t="n">
        <v>0</v>
      </c>
      <c r="G6" s="7" t="n">
        <v>-5500</v>
      </c>
      <c r="H6" s="7" t="n">
        <v>-111462</v>
      </c>
      <c r="I6" s="7" t="n">
        <v>1852511</v>
      </c>
      <c r="J6" s="2" t="n">
        <v>3863</v>
      </c>
      <c r="K6" s="8" t="n">
        <f aca="false">ROUND(SUM(B6:H6)-I6,2)</f>
        <v>0</v>
      </c>
      <c r="L6" s="5" t="n">
        <f aca="false">IF(B6=0,"",(B6+E6+F6+G6+H6)/B6)</f>
        <v>0.928097730298804</v>
      </c>
      <c r="M6" s="5" t="n">
        <f aca="false">IF(B6=0,"",(B6+G6+H6)/B6)</f>
        <v>0.921228215387579</v>
      </c>
    </row>
    <row r="7" customFormat="false" ht="15" hidden="false" customHeight="false" outlineLevel="0" collapsed="false">
      <c r="A7" s="2" t="s">
        <v>45</v>
      </c>
      <c r="B7" s="7" t="n">
        <v>1852511</v>
      </c>
      <c r="C7" s="7" t="n">
        <v>491071.5</v>
      </c>
      <c r="D7" s="7" t="n">
        <v>5088</v>
      </c>
      <c r="E7" s="7" t="n">
        <v>10900</v>
      </c>
      <c r="F7" s="7" t="n">
        <v>0</v>
      </c>
      <c r="G7" s="7" t="n">
        <v>-3500</v>
      </c>
      <c r="H7" s="7" t="n">
        <v>-116548</v>
      </c>
      <c r="I7" s="7" t="n">
        <v>2239522.5</v>
      </c>
      <c r="J7" s="2" t="n">
        <v>4673</v>
      </c>
      <c r="K7" s="8" t="n">
        <f aca="false">ROUND(SUM(B7:H7)-I7,2)</f>
        <v>0</v>
      </c>
      <c r="L7" s="5" t="n">
        <f aca="false">IF(B7=0,"",(B7+E7+F7+G7+H7)/B7)</f>
        <v>0.94108105161049</v>
      </c>
      <c r="M7" s="5" t="n">
        <f aca="false">IF(B7=0,"",(B7+G7+H7)/B7)</f>
        <v>0.935197145927878</v>
      </c>
    </row>
    <row r="8" customFormat="false" ht="15" hidden="false" customHeight="false" outlineLevel="0" collapsed="false">
      <c r="A8" s="2" t="s">
        <v>46</v>
      </c>
      <c r="B8" s="7" t="n">
        <v>2239522.5</v>
      </c>
      <c r="C8" s="7" t="n">
        <v>461528.5</v>
      </c>
      <c r="D8" s="7" t="n">
        <v>5989</v>
      </c>
      <c r="E8" s="7" t="n">
        <v>17100</v>
      </c>
      <c r="F8" s="7" t="n">
        <v>0</v>
      </c>
      <c r="G8" s="7" t="n">
        <v>-8000</v>
      </c>
      <c r="H8" s="7" t="n">
        <v>-172521</v>
      </c>
      <c r="I8" s="7" t="n">
        <v>2543619</v>
      </c>
      <c r="J8" s="2" t="n">
        <v>5296</v>
      </c>
      <c r="K8" s="8" t="n">
        <f aca="false">ROUND(SUM(B8:H8)-I8,2)</f>
        <v>0</v>
      </c>
      <c r="L8" s="5" t="n">
        <f aca="false">IF(B8=0,"",(B8+E8+F8+G8+H8)/B8)</f>
        <v>0.927028641150067</v>
      </c>
      <c r="M8" s="5" t="n">
        <f aca="false">IF(B8=0,"",(B8+G8+H8)/B8)</f>
        <v>0.919393084909841</v>
      </c>
    </row>
    <row r="9" customFormat="false" ht="15" hidden="false" customHeight="false" outlineLevel="0" collapsed="false">
      <c r="A9" s="2" t="s">
        <v>47</v>
      </c>
      <c r="B9" s="7" t="n">
        <v>2543619</v>
      </c>
      <c r="C9" s="7" t="n">
        <v>473938.666666667</v>
      </c>
      <c r="D9" s="7" t="n">
        <v>8082</v>
      </c>
      <c r="E9" s="7" t="n">
        <v>17200</v>
      </c>
      <c r="F9" s="7" t="n">
        <v>0</v>
      </c>
      <c r="G9" s="7" t="n">
        <v>-7900</v>
      </c>
      <c r="H9" s="7" t="n">
        <v>-181904</v>
      </c>
      <c r="I9" s="7" t="n">
        <v>2853035.66666667</v>
      </c>
      <c r="J9" s="2" t="n">
        <v>5918</v>
      </c>
      <c r="K9" s="8" t="n">
        <f aca="false">ROUND(SUM(B9:H9)-I9,2)</f>
        <v>0</v>
      </c>
      <c r="L9" s="5" t="n">
        <f aca="false">IF(B9=0,"",(B9+E9+F9+G9+H9)/B9)</f>
        <v>0.932142353080395</v>
      </c>
      <c r="M9" s="5" t="n">
        <f aca="false">IF(B9=0,"",(B9+G9+H9)/B9)</f>
        <v>0.925380334083053</v>
      </c>
    </row>
    <row r="10" customFormat="false" ht="15" hidden="false" customHeight="false" outlineLevel="0" collapsed="false">
      <c r="A10" s="2" t="s">
        <v>48</v>
      </c>
      <c r="B10" s="7" t="n">
        <v>2853035.66666667</v>
      </c>
      <c r="C10" s="7" t="n">
        <v>513527</v>
      </c>
      <c r="D10" s="7" t="n">
        <v>8784</v>
      </c>
      <c r="E10" s="7" t="n">
        <v>22700</v>
      </c>
      <c r="F10" s="7" t="n">
        <v>0</v>
      </c>
      <c r="G10" s="7" t="n">
        <v>-9200</v>
      </c>
      <c r="H10" s="7" t="n">
        <v>-198668</v>
      </c>
      <c r="I10" s="7" t="n">
        <v>3190178.66666667</v>
      </c>
      <c r="J10" s="2" t="n">
        <v>6583</v>
      </c>
      <c r="K10" s="8" t="n">
        <f aca="false">ROUND(SUM(B10:H10)-I10,2)</f>
        <v>0</v>
      </c>
      <c r="L10" s="5" t="n">
        <f aca="false">IF(B10=0,"",(B10+E10+F10+G10+H10)/B10)</f>
        <v>0.935097902152643</v>
      </c>
      <c r="M10" s="5" t="n">
        <f aca="false">IF(B10=0,"",(B10+G10+H10)/B10)</f>
        <v>0.927141464641113</v>
      </c>
    </row>
    <row r="11" customFormat="false" ht="15" hidden="false" customHeight="false" outlineLevel="0" collapsed="false">
      <c r="A11" s="2" t="s">
        <v>49</v>
      </c>
      <c r="B11" s="7" t="n">
        <v>3190178.66666667</v>
      </c>
      <c r="C11" s="7" t="n">
        <v>526423.166666667</v>
      </c>
      <c r="D11" s="7" t="n">
        <v>13571</v>
      </c>
      <c r="E11" s="7" t="n">
        <v>24300</v>
      </c>
      <c r="F11" s="7" t="n">
        <v>0</v>
      </c>
      <c r="G11" s="7" t="n">
        <v>-9900</v>
      </c>
      <c r="H11" s="7" t="n">
        <v>-194280</v>
      </c>
      <c r="I11" s="7" t="n">
        <v>3550292.83333333</v>
      </c>
      <c r="J11" s="2" t="n">
        <v>7310</v>
      </c>
      <c r="K11" s="8" t="n">
        <f aca="false">ROUND(SUM(B11:H11)-I11,2)</f>
        <v>0</v>
      </c>
      <c r="L11" s="5" t="n">
        <f aca="false">IF(B11=0,"",(B11+E11+F11+G11+H11)/B11)</f>
        <v>0.943614443328984</v>
      </c>
      <c r="M11" s="5" t="n">
        <f aca="false">IF(B11=0,"",(B11+G11+H11)/B11)</f>
        <v>0.935997315092906</v>
      </c>
    </row>
    <row r="12" customFormat="false" ht="15" hidden="false" customHeight="false" outlineLevel="0" collapsed="false">
      <c r="A12" s="2" t="s">
        <v>50</v>
      </c>
      <c r="B12" s="7" t="n">
        <v>3550292.83333333</v>
      </c>
      <c r="C12" s="7" t="n">
        <v>504248.833333333</v>
      </c>
      <c r="D12" s="7" t="n">
        <v>11976</v>
      </c>
      <c r="E12" s="7" t="n">
        <v>27100</v>
      </c>
      <c r="F12" s="7" t="n">
        <v>0</v>
      </c>
      <c r="G12" s="7" t="n">
        <v>-9900</v>
      </c>
      <c r="H12" s="7" t="n">
        <v>-180793</v>
      </c>
      <c r="I12" s="7" t="n">
        <v>3902924.66666667</v>
      </c>
      <c r="J12" s="2" t="n">
        <v>7999</v>
      </c>
      <c r="K12" s="8" t="n">
        <f aca="false">ROUND(SUM(B12:H12)-I12,2)</f>
        <v>0</v>
      </c>
      <c r="L12" s="5" t="n">
        <f aca="false">IF(B12=0,"",(B12+E12+F12+G12+H12)/B12)</f>
        <v>0.953921265743478</v>
      </c>
      <c r="M12" s="5" t="n">
        <f aca="false">IF(B12=0,"",(B12+G12+H12)/B12)</f>
        <v>0.946288092573772</v>
      </c>
    </row>
    <row r="13" customFormat="false" ht="15" hidden="false" customHeight="false" outlineLevel="0" collapsed="false">
      <c r="A13" s="2" t="s">
        <v>51</v>
      </c>
      <c r="B13" s="7" t="n">
        <v>3902924.66666667</v>
      </c>
      <c r="C13" s="7" t="n">
        <v>661198.166666667</v>
      </c>
      <c r="D13" s="7" t="n">
        <v>17261</v>
      </c>
      <c r="E13" s="7" t="n">
        <v>27700</v>
      </c>
      <c r="F13" s="7" t="n">
        <v>0</v>
      </c>
      <c r="G13" s="7" t="n">
        <v>-11500</v>
      </c>
      <c r="H13" s="7" t="n">
        <v>-242094</v>
      </c>
      <c r="I13" s="7" t="n">
        <v>4355489.83333333</v>
      </c>
      <c r="J13" s="2" t="n">
        <v>8916</v>
      </c>
      <c r="K13" s="8" t="n">
        <f aca="false">ROUND(SUM(B13:H13)-I13,2)</f>
        <v>0</v>
      </c>
      <c r="L13" s="5" t="n">
        <f aca="false">IF(B13=0,"",(B13+E13+F13+G13+H13)/B13)</f>
        <v>0.942121865192718</v>
      </c>
      <c r="M13" s="5" t="n">
        <f aca="false">IF(B13=0,"",(B13+G13+H13)/B13)</f>
        <v>0.935024623414885</v>
      </c>
    </row>
    <row r="14" customFormat="false" ht="15" hidden="false" customHeight="false" outlineLevel="0" collapsed="false">
      <c r="A14" s="2" t="s">
        <v>52</v>
      </c>
      <c r="B14" s="7" t="n">
        <v>4355489.83333333</v>
      </c>
      <c r="C14" s="7" t="n">
        <v>616327</v>
      </c>
      <c r="D14" s="7" t="n">
        <v>14364</v>
      </c>
      <c r="E14" s="7" t="n">
        <v>33200</v>
      </c>
      <c r="F14" s="7" t="n">
        <v>0</v>
      </c>
      <c r="G14" s="7" t="n">
        <v>-15500</v>
      </c>
      <c r="H14" s="7" t="n">
        <v>-247091.333333333</v>
      </c>
      <c r="I14" s="7" t="n">
        <v>4756789.5</v>
      </c>
      <c r="J14" s="2" t="n">
        <v>9721</v>
      </c>
      <c r="K14" s="8" t="n">
        <f aca="false">ROUND(SUM(B14:H14)-I14,2)</f>
        <v>0</v>
      </c>
      <c r="L14" s="5" t="n">
        <f aca="false">IF(B14=0,"",(B14+E14+F14+G14+H14)/B14)</f>
        <v>0.94733282773897</v>
      </c>
      <c r="M14" s="5" t="n">
        <f aca="false">IF(B14=0,"",(B14+G14+H14)/B14)</f>
        <v>0.939710263740332</v>
      </c>
    </row>
    <row r="15" customFormat="false" ht="15" hidden="false" customHeight="false" outlineLevel="0" collapsed="false">
      <c r="A15" s="2" t="s">
        <v>53</v>
      </c>
      <c r="B15" s="7" t="n">
        <v>4756789.5</v>
      </c>
      <c r="C15" s="7" t="n">
        <v>509360.666666667</v>
      </c>
      <c r="D15" s="7" t="n">
        <v>17160</v>
      </c>
      <c r="E15" s="7" t="n">
        <v>27500</v>
      </c>
      <c r="F15" s="7" t="n">
        <v>0</v>
      </c>
      <c r="G15" s="7" t="n">
        <v>-11700</v>
      </c>
      <c r="H15" s="7" t="n">
        <v>-271188</v>
      </c>
      <c r="I15" s="7" t="n">
        <v>5027922.16666667</v>
      </c>
      <c r="J15" s="2" t="n">
        <v>10285</v>
      </c>
      <c r="K15" s="8" t="n">
        <f aca="false">ROUND(SUM(B15:H15)-I15,2)</f>
        <v>0</v>
      </c>
      <c r="L15" s="5" t="n">
        <f aca="false">IF(B15=0,"",(B15+E15+F15+G15+H15)/B15)</f>
        <v>0.946310846843233</v>
      </c>
      <c r="M15" s="5" t="n">
        <f aca="false">IF(B15=0,"",(B15+G15+H15)/B15)</f>
        <v>0.940529636638325</v>
      </c>
    </row>
    <row r="16" customFormat="false" ht="15" hidden="false" customHeight="false" outlineLevel="0" collapsed="false">
      <c r="A16" s="2" t="s">
        <v>54</v>
      </c>
      <c r="B16" s="7" t="n">
        <v>5027922.16666667</v>
      </c>
      <c r="C16" s="7" t="n">
        <v>627669.833333333</v>
      </c>
      <c r="D16" s="7" t="n">
        <v>13913.3333333333</v>
      </c>
      <c r="E16" s="7" t="n">
        <v>41390</v>
      </c>
      <c r="F16" s="7" t="n">
        <v>268980</v>
      </c>
      <c r="G16" s="7" t="n">
        <v>-14235</v>
      </c>
      <c r="H16" s="7" t="n">
        <v>-298269.833333333</v>
      </c>
      <c r="I16" s="7" t="n">
        <v>5667370.5</v>
      </c>
      <c r="J16" s="2" t="n">
        <v>10926</v>
      </c>
      <c r="K16" s="8" t="n">
        <f aca="false">ROUND(SUM(B16:H16)-I16,2)</f>
        <v>0</v>
      </c>
      <c r="L16" s="5" t="n">
        <f aca="false">IF(B16=0,"",(B16+E16+F16+G16+H16)/B16)</f>
        <v>0.999575404458827</v>
      </c>
      <c r="M16" s="5" t="n">
        <f aca="false">IF(B16=0,"",(B16+G16+H16)/B16)</f>
        <v>0.93784612749077</v>
      </c>
    </row>
    <row r="17" customFormat="false" ht="15" hidden="false" customHeight="false" outlineLevel="0" collapsed="false">
      <c r="A17" s="2" t="s">
        <v>55</v>
      </c>
      <c r="B17" s="7" t="n">
        <v>5667370.5</v>
      </c>
      <c r="C17" s="7" t="n">
        <v>585945.333333333</v>
      </c>
      <c r="D17" s="7" t="n">
        <v>27286.8333333333</v>
      </c>
      <c r="E17" s="7" t="n">
        <v>30475</v>
      </c>
      <c r="F17" s="7" t="n">
        <v>0</v>
      </c>
      <c r="G17" s="7" t="n">
        <v>-19905</v>
      </c>
      <c r="H17" s="7" t="n">
        <v>-322824.5</v>
      </c>
      <c r="I17" s="7" t="n">
        <v>5968348.16666667</v>
      </c>
      <c r="J17" s="2" t="n">
        <v>11482</v>
      </c>
      <c r="K17" s="8" t="n">
        <f aca="false">ROUND(SUM(B17:H17)-I17,2)</f>
        <v>0</v>
      </c>
      <c r="L17" s="5" t="n">
        <f aca="false">IF(B17=0,"",(B17+E17+F17+G17+H17)/B17)</f>
        <v>0.94490310806396</v>
      </c>
      <c r="M17" s="5" t="n">
        <f aca="false">IF(B17=0,"",(B17+G17+H17)/B17)</f>
        <v>0.939525834776463</v>
      </c>
    </row>
    <row r="18" customFormat="false" ht="15" hidden="false" customHeight="false" outlineLevel="0" collapsed="false">
      <c r="A18" s="2" t="s">
        <v>56</v>
      </c>
      <c r="B18" s="7" t="n">
        <v>5968348.16666667</v>
      </c>
      <c r="C18" s="7" t="n">
        <v>615223.166666667</v>
      </c>
      <c r="D18" s="7" t="n">
        <v>27970.5</v>
      </c>
      <c r="E18" s="7" t="n">
        <v>42050</v>
      </c>
      <c r="F18" s="7" t="n">
        <v>0</v>
      </c>
      <c r="G18" s="7" t="n">
        <v>-20040</v>
      </c>
      <c r="H18" s="7" t="n">
        <v>-368755.833333333</v>
      </c>
      <c r="I18" s="7" t="n">
        <v>6264796</v>
      </c>
      <c r="J18" s="2" t="n">
        <v>12039</v>
      </c>
      <c r="K18" s="8" t="n">
        <f aca="false">ROUND(SUM(B18:H18)-I18,2)</f>
        <v>0</v>
      </c>
      <c r="L18" s="5" t="n">
        <f aca="false">IF(B18=0,"",(B18+E18+F18+G18+H18)/B18)</f>
        <v>0.941902545955694</v>
      </c>
      <c r="M18" s="5" t="n">
        <f aca="false">IF(B18=0,"",(B18+G18+H18)/B18)</f>
        <v>0.934857045454425</v>
      </c>
    </row>
    <row r="19" customFormat="false" ht="15" hidden="false" customHeight="false" outlineLevel="0" collapsed="false">
      <c r="A19" s="2" t="s">
        <v>57</v>
      </c>
      <c r="B19" s="7" t="n">
        <v>6264796</v>
      </c>
      <c r="C19" s="7" t="n">
        <v>600628</v>
      </c>
      <c r="D19" s="7" t="n">
        <v>22616.1666666667</v>
      </c>
      <c r="E19" s="7" t="n">
        <v>35540</v>
      </c>
      <c r="F19" s="7" t="n">
        <v>0</v>
      </c>
      <c r="G19" s="7" t="n">
        <v>-15585</v>
      </c>
      <c r="H19" s="7" t="n">
        <v>-373915.333333333</v>
      </c>
      <c r="I19" s="7" t="n">
        <v>6534079.83333333</v>
      </c>
      <c r="J19" s="2" t="n">
        <v>12521</v>
      </c>
      <c r="K19" s="8" t="n">
        <f aca="false">ROUND(SUM(B19:H19)-I19,2)</f>
        <v>0</v>
      </c>
      <c r="L19" s="5" t="n">
        <f aca="false">IF(B19=0,"",(B19+E19+F19+G19+H19)/B19)</f>
        <v>0.94350010226457</v>
      </c>
      <c r="M19" s="5" t="n">
        <f aca="false">IF(B19=0,"",(B19+G19+H19)/B19)</f>
        <v>0.937827132226918</v>
      </c>
    </row>
    <row r="20" customFormat="false" ht="15" hidden="false" customHeight="false" outlineLevel="0" collapsed="false">
      <c r="A20" s="2" t="s">
        <v>58</v>
      </c>
      <c r="B20" s="7" t="n">
        <v>6534079.83333333</v>
      </c>
      <c r="C20" s="7" t="n">
        <v>573087.5</v>
      </c>
      <c r="D20" s="7" t="n">
        <v>22788.5</v>
      </c>
      <c r="E20" s="7" t="n">
        <v>42675</v>
      </c>
      <c r="F20" s="7" t="n">
        <v>0</v>
      </c>
      <c r="G20" s="7" t="n">
        <v>-18650</v>
      </c>
      <c r="H20" s="7" t="n">
        <v>-434967.333333333</v>
      </c>
      <c r="I20" s="7" t="n">
        <v>6719013.5</v>
      </c>
      <c r="J20" s="2" t="n">
        <v>12847</v>
      </c>
      <c r="K20" s="8" t="n">
        <f aca="false">ROUND(SUM(B20:H20)-I20,2)</f>
        <v>0</v>
      </c>
      <c r="L20" s="5" t="n">
        <f aca="false">IF(B20=0,"",(B20+E20+F20+G20+H20)/B20)</f>
        <v>0.937107849335276</v>
      </c>
      <c r="M20" s="5" t="n">
        <f aca="false">IF(B20=0,"",(B20+G20+H20)/B20)</f>
        <v>0.930576707829736</v>
      </c>
    </row>
    <row r="21" customFormat="false" ht="15" hidden="false" customHeight="false" outlineLevel="0" collapsed="false">
      <c r="A21" s="2" t="s">
        <v>59</v>
      </c>
      <c r="B21" s="7" t="n">
        <v>6719013.5</v>
      </c>
      <c r="C21" s="7" t="n">
        <v>599737.166666667</v>
      </c>
      <c r="D21" s="7" t="n">
        <v>24645.6666666667</v>
      </c>
      <c r="E21" s="7" t="n">
        <v>40665</v>
      </c>
      <c r="F21" s="7" t="n">
        <v>0</v>
      </c>
      <c r="G21" s="7" t="n">
        <v>-20865</v>
      </c>
      <c r="H21" s="7" t="n">
        <v>-426491.833333333</v>
      </c>
      <c r="I21" s="7" t="n">
        <v>6936704.5</v>
      </c>
      <c r="J21" s="2" t="n">
        <v>13234</v>
      </c>
      <c r="K21" s="8" t="n">
        <f aca="false">ROUND(SUM(B21:H21)-I21,2)</f>
        <v>0</v>
      </c>
      <c r="L21" s="5" t="n">
        <f aca="false">IF(B21=0,"",(B21+E21+F21+G21+H21)/B21)</f>
        <v>0.939471496324076</v>
      </c>
      <c r="M21" s="5" t="n">
        <f aca="false">IF(B21=0,"",(B21+G21+H21)/B21)</f>
        <v>0.933419268567725</v>
      </c>
    </row>
    <row r="22" customFormat="false" ht="15" hidden="false" customHeight="false" outlineLevel="0" collapsed="false">
      <c r="A22" s="2" t="s">
        <v>60</v>
      </c>
      <c r="B22" s="7" t="n">
        <v>6936704.5</v>
      </c>
      <c r="C22" s="7" t="n">
        <v>653285.166666667</v>
      </c>
      <c r="D22" s="7" t="n">
        <v>22344.6666666667</v>
      </c>
      <c r="E22" s="7" t="n">
        <v>44840</v>
      </c>
      <c r="F22" s="7" t="n">
        <v>0</v>
      </c>
      <c r="G22" s="7" t="n">
        <v>-23800</v>
      </c>
      <c r="H22" s="7" t="n">
        <v>-425307</v>
      </c>
      <c r="I22" s="7" t="n">
        <v>7208067.33333333</v>
      </c>
      <c r="J22" s="2" t="n">
        <v>13724</v>
      </c>
      <c r="K22" s="8" t="n">
        <f aca="false">ROUND(SUM(B22:H22)-I22,2)</f>
        <v>0</v>
      </c>
      <c r="L22" s="5" t="n">
        <f aca="false">IF(B22=0,"",(B22+E22+F22+G22+H22)/B22)</f>
        <v>0.941720596574353</v>
      </c>
      <c r="M22" s="5" t="n">
        <f aca="false">IF(B22=0,"",(B22+G22+H22)/B22)</f>
        <v>0.935256431926717</v>
      </c>
    </row>
    <row r="23" customFormat="false" ht="15" hidden="false" customHeight="false" outlineLevel="0" collapsed="false">
      <c r="A23" s="2" t="s">
        <v>61</v>
      </c>
      <c r="B23" s="7" t="n">
        <v>7208067.33333333</v>
      </c>
      <c r="C23" s="7" t="n">
        <v>682401.166666667</v>
      </c>
      <c r="D23" s="7" t="n">
        <v>33304.6666666667</v>
      </c>
      <c r="E23" s="7" t="n">
        <v>44010</v>
      </c>
      <c r="F23" s="7" t="n">
        <v>0</v>
      </c>
      <c r="G23" s="7" t="n">
        <v>-23890</v>
      </c>
      <c r="H23" s="7" t="n">
        <v>-414284.5</v>
      </c>
      <c r="I23" s="7" t="n">
        <v>7529608.66666667</v>
      </c>
      <c r="J23" s="2" t="n">
        <v>14332</v>
      </c>
      <c r="K23" s="8" t="n">
        <f aca="false">ROUND(SUM(B23:H23)-I23,2)</f>
        <v>0</v>
      </c>
      <c r="L23" s="5" t="n">
        <f aca="false">IF(B23=0,"",(B23+E23+F23+G23+H23)/B23)</f>
        <v>0.945316201726196</v>
      </c>
      <c r="M23" s="5" t="n">
        <f aca="false">IF(B23=0,"",(B23+G23+H23)/B23)</f>
        <v>0.939210542890785</v>
      </c>
    </row>
    <row r="24" customFormat="false" ht="15" hidden="false" customHeight="false" outlineLevel="0" collapsed="false">
      <c r="A24" s="2" t="s">
        <v>62</v>
      </c>
      <c r="B24" s="7" t="n">
        <v>7529608.66666667</v>
      </c>
      <c r="C24" s="7" t="n">
        <v>690541.833333333</v>
      </c>
      <c r="D24" s="7" t="n">
        <v>33535.3333333333</v>
      </c>
      <c r="E24" s="7" t="n">
        <v>54410</v>
      </c>
      <c r="F24" s="7" t="n">
        <v>0</v>
      </c>
      <c r="G24" s="7" t="n">
        <v>-21130</v>
      </c>
      <c r="H24" s="7" t="n">
        <v>-395987.166666667</v>
      </c>
      <c r="I24" s="7" t="n">
        <v>7890978.66666667</v>
      </c>
      <c r="J24" s="2" t="n">
        <v>15002</v>
      </c>
      <c r="K24" s="8" t="n">
        <f aca="false">ROUND(SUM(B24:H24)-I24,2)</f>
        <v>0</v>
      </c>
      <c r="L24" s="5" t="n">
        <f aca="false">IF(B24=0,"",(B24+E24+F24+G24+H24)/B24)</f>
        <v>0.951829214143311</v>
      </c>
      <c r="M24" s="5" t="n">
        <f aca="false">IF(B24=0,"",(B24+G24+H24)/B24)</f>
        <v>0.944603074989378</v>
      </c>
    </row>
    <row r="25" customFormat="false" ht="15" hidden="false" customHeight="false" outlineLevel="0" collapsed="false">
      <c r="A25" s="2" t="s">
        <v>63</v>
      </c>
      <c r="B25" s="7" t="n">
        <v>7890978.66666667</v>
      </c>
      <c r="C25" s="7" t="n">
        <v>641400.166666667</v>
      </c>
      <c r="D25" s="7" t="n">
        <v>22580.3333333333</v>
      </c>
      <c r="E25" s="7" t="n">
        <v>48100</v>
      </c>
      <c r="F25" s="7" t="n">
        <v>0</v>
      </c>
      <c r="G25" s="7" t="n">
        <v>-17955</v>
      </c>
      <c r="H25" s="7" t="n">
        <v>-455282.5</v>
      </c>
      <c r="I25" s="7" t="n">
        <v>8129821.66666667</v>
      </c>
      <c r="J25" s="2" t="n">
        <v>15437</v>
      </c>
      <c r="K25" s="8" t="n">
        <f aca="false">ROUND(SUM(B25:H25)-I25,2)</f>
        <v>0</v>
      </c>
      <c r="L25" s="5" t="n">
        <f aca="false">IF(B25=0,"",(B25+E25+F25+G25+H25)/B25)</f>
        <v>0.946123602919384</v>
      </c>
      <c r="M25" s="5" t="n">
        <f aca="false">IF(B25=0,"",(B25+G25+H25)/B25)</f>
        <v>0.94002803454544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" hidden="false" customHeight="false" outlineLevel="0" collapsed="false">
      <c r="A27" s="2" t="s">
        <v>64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3" min="2" style="0" width="10"/>
    <col collapsed="false" customWidth="true" hidden="false" outlineLevel="0" max="14" min="4" style="0" width="20"/>
    <col collapsed="false" customWidth="true" hidden="false" outlineLevel="0" max="25" min="15" style="0" width="21"/>
    <col collapsed="false" customWidth="true" hidden="false" outlineLevel="0" max="26" min="26" style="0" width="10"/>
  </cols>
  <sheetData>
    <row r="1" customFormat="false" ht="15" hidden="false" customHeight="false" outlineLevel="0" collapsed="false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79</v>
      </c>
      <c r="P1" s="3" t="s">
        <v>80</v>
      </c>
      <c r="Q1" s="3" t="s">
        <v>81</v>
      </c>
      <c r="R1" s="3" t="s">
        <v>82</v>
      </c>
      <c r="S1" s="3" t="s">
        <v>83</v>
      </c>
      <c r="T1" s="3" t="s">
        <v>84</v>
      </c>
      <c r="U1" s="3" t="s">
        <v>85</v>
      </c>
      <c r="V1" s="3" t="s">
        <v>86</v>
      </c>
      <c r="W1" s="3" t="s">
        <v>87</v>
      </c>
      <c r="X1" s="3" t="s">
        <v>88</v>
      </c>
      <c r="Y1" s="3" t="s">
        <v>89</v>
      </c>
      <c r="Z1" s="3" t="s">
        <v>90</v>
      </c>
    </row>
    <row r="2" customFormat="false" ht="15" hidden="false" customHeight="false" outlineLevel="0" collapsed="false">
      <c r="A2" s="2" t="n">
        <v>0</v>
      </c>
      <c r="B2" s="2" t="n">
        <v>552</v>
      </c>
      <c r="C2" s="9" t="n">
        <v>1</v>
      </c>
      <c r="D2" s="9" t="n">
        <v>0.942</v>
      </c>
      <c r="E2" s="9" t="n">
        <v>0.8351</v>
      </c>
      <c r="F2" s="9" t="n">
        <v>0.7899</v>
      </c>
      <c r="G2" s="9" t="n">
        <v>0.7464</v>
      </c>
      <c r="H2" s="9" t="n">
        <v>0.7192</v>
      </c>
      <c r="I2" s="9" t="n">
        <v>0.6757</v>
      </c>
      <c r="J2" s="9" t="n">
        <v>0.654</v>
      </c>
      <c r="K2" s="9" t="n">
        <v>0.6196</v>
      </c>
      <c r="L2" s="9" t="n">
        <v>0.5942</v>
      </c>
      <c r="M2" s="9" t="n">
        <v>0.567</v>
      </c>
      <c r="N2" s="9" t="n">
        <v>0.538</v>
      </c>
      <c r="O2" s="9" t="n">
        <v>0.471</v>
      </c>
      <c r="P2" s="9" t="n">
        <v>0.4475</v>
      </c>
      <c r="Q2" s="9" t="n">
        <v>0.4366</v>
      </c>
      <c r="R2" s="9" t="n">
        <v>0.4076</v>
      </c>
      <c r="S2" s="9" t="n">
        <v>0.3967</v>
      </c>
      <c r="T2" s="9" t="n">
        <v>0.3913</v>
      </c>
      <c r="U2" s="9" t="n">
        <v>0.3714</v>
      </c>
      <c r="V2" s="9" t="n">
        <v>0.3569</v>
      </c>
      <c r="W2" s="9" t="n">
        <v>0.3424</v>
      </c>
      <c r="X2" s="9" t="n">
        <v>0.3261</v>
      </c>
      <c r="Y2" s="9" t="n">
        <v>0.3207</v>
      </c>
      <c r="Z2" s="9" t="n">
        <v>0.3134</v>
      </c>
    </row>
    <row r="3" customFormat="false" ht="15" hidden="false" customHeight="false" outlineLevel="0" collapsed="false">
      <c r="A3" s="2" t="n">
        <v>1</v>
      </c>
      <c r="B3" s="2" t="n">
        <v>909</v>
      </c>
      <c r="C3" s="9" t="n">
        <v>1</v>
      </c>
      <c r="D3" s="9" t="n">
        <v>0.9263</v>
      </c>
      <c r="E3" s="9" t="n">
        <v>0.8658</v>
      </c>
      <c r="F3" s="9" t="n">
        <v>0.8207</v>
      </c>
      <c r="G3" s="9" t="n">
        <v>0.78</v>
      </c>
      <c r="H3" s="9" t="n">
        <v>0.7437</v>
      </c>
      <c r="I3" s="9" t="n">
        <v>0.7096</v>
      </c>
      <c r="J3" s="9" t="n">
        <v>0.6667</v>
      </c>
      <c r="K3" s="9" t="n">
        <v>0.637</v>
      </c>
      <c r="L3" s="9" t="n">
        <v>0.6194</v>
      </c>
      <c r="M3" s="9" t="n">
        <v>0.593</v>
      </c>
      <c r="N3" s="9" t="n">
        <v>0.5743</v>
      </c>
      <c r="O3" s="9" t="n">
        <v>0.5105</v>
      </c>
      <c r="P3" s="9" t="n">
        <v>0.484</v>
      </c>
      <c r="Q3" s="9" t="n">
        <v>0.4708</v>
      </c>
      <c r="R3" s="9" t="n">
        <v>0.462</v>
      </c>
      <c r="S3" s="9" t="n">
        <v>0.4565</v>
      </c>
      <c r="T3" s="9" t="n">
        <v>0.4301</v>
      </c>
      <c r="U3" s="9" t="n">
        <v>0.418</v>
      </c>
      <c r="V3" s="9" t="n">
        <v>0.407</v>
      </c>
      <c r="W3" s="9" t="n">
        <v>0.3993</v>
      </c>
      <c r="X3" s="9" t="n">
        <v>0.3927</v>
      </c>
      <c r="Y3" s="9" t="n">
        <v>0.3828</v>
      </c>
      <c r="Z3" s="2"/>
    </row>
    <row r="4" customFormat="false" ht="15" hidden="false" customHeight="false" outlineLevel="0" collapsed="false">
      <c r="A4" s="2" t="n">
        <v>2</v>
      </c>
      <c r="B4" s="2" t="n">
        <v>999</v>
      </c>
      <c r="C4" s="9" t="n">
        <v>1</v>
      </c>
      <c r="D4" s="9" t="n">
        <v>0.9039</v>
      </c>
      <c r="E4" s="9" t="n">
        <v>0.8198</v>
      </c>
      <c r="F4" s="9" t="n">
        <v>0.7788</v>
      </c>
      <c r="G4" s="9" t="n">
        <v>0.7357</v>
      </c>
      <c r="H4" s="9" t="n">
        <v>0.7017</v>
      </c>
      <c r="I4" s="9" t="n">
        <v>0.6667</v>
      </c>
      <c r="J4" s="9" t="n">
        <v>0.6426</v>
      </c>
      <c r="K4" s="9" t="n">
        <v>0.6166</v>
      </c>
      <c r="L4" s="9" t="n">
        <v>0.5996</v>
      </c>
      <c r="M4" s="9" t="n">
        <v>0.5736</v>
      </c>
      <c r="N4" s="9" t="n">
        <v>0.5576</v>
      </c>
      <c r="O4" s="9" t="n">
        <v>0.4885</v>
      </c>
      <c r="P4" s="9" t="n">
        <v>0.4685</v>
      </c>
      <c r="Q4" s="9" t="n">
        <v>0.4525</v>
      </c>
      <c r="R4" s="9" t="n">
        <v>0.4394</v>
      </c>
      <c r="S4" s="9" t="n">
        <v>0.4154</v>
      </c>
      <c r="T4" s="9" t="n">
        <v>0.3984</v>
      </c>
      <c r="U4" s="9" t="n">
        <v>0.3824</v>
      </c>
      <c r="V4" s="9" t="n">
        <v>0.3674</v>
      </c>
      <c r="W4" s="9" t="n">
        <v>0.3614</v>
      </c>
      <c r="X4" s="9" t="n">
        <v>0.3453</v>
      </c>
      <c r="Y4" s="2"/>
      <c r="Z4" s="2"/>
    </row>
    <row r="5" customFormat="false" ht="15" hidden="false" customHeight="false" outlineLevel="0" collapsed="false">
      <c r="A5" s="2" t="n">
        <v>3</v>
      </c>
      <c r="B5" s="2" t="n">
        <v>973</v>
      </c>
      <c r="C5" s="9" t="n">
        <v>1</v>
      </c>
      <c r="D5" s="9" t="n">
        <v>0.9157</v>
      </c>
      <c r="E5" s="9" t="n">
        <v>0.8345</v>
      </c>
      <c r="F5" s="9" t="n">
        <v>0.7626</v>
      </c>
      <c r="G5" s="9" t="n">
        <v>0.7235</v>
      </c>
      <c r="H5" s="9" t="n">
        <v>0.6958</v>
      </c>
      <c r="I5" s="9" t="n">
        <v>0.6701</v>
      </c>
      <c r="J5" s="9" t="n">
        <v>0.6495</v>
      </c>
      <c r="K5" s="9" t="n">
        <v>0.6249</v>
      </c>
      <c r="L5" s="9" t="n">
        <v>0.6053</v>
      </c>
      <c r="M5" s="9" t="n">
        <v>0.5838</v>
      </c>
      <c r="N5" s="9" t="n">
        <v>0.5612</v>
      </c>
      <c r="O5" s="9" t="n">
        <v>0.5149</v>
      </c>
      <c r="P5" s="9" t="n">
        <v>0.4913</v>
      </c>
      <c r="Q5" s="9" t="n">
        <v>0.4738</v>
      </c>
      <c r="R5" s="9" t="n">
        <v>0.4563</v>
      </c>
      <c r="S5" s="9" t="n">
        <v>0.4399</v>
      </c>
      <c r="T5" s="9" t="n">
        <v>0.4224</v>
      </c>
      <c r="U5" s="9" t="n">
        <v>0.4049</v>
      </c>
      <c r="V5" s="9" t="n">
        <v>0.3977</v>
      </c>
      <c r="W5" s="9" t="n">
        <v>0.3803</v>
      </c>
      <c r="X5" s="2"/>
      <c r="Y5" s="2"/>
      <c r="Z5" s="2"/>
    </row>
    <row r="6" customFormat="false" ht="15" hidden="false" customHeight="false" outlineLevel="0" collapsed="false">
      <c r="A6" s="2" t="n">
        <v>4</v>
      </c>
      <c r="B6" s="2" t="n">
        <v>995</v>
      </c>
      <c r="C6" s="9" t="n">
        <v>1</v>
      </c>
      <c r="D6" s="9" t="n">
        <v>0.9317</v>
      </c>
      <c r="E6" s="9" t="n">
        <v>0.8482</v>
      </c>
      <c r="F6" s="9" t="n">
        <v>0.7749</v>
      </c>
      <c r="G6" s="9" t="n">
        <v>0.7216</v>
      </c>
      <c r="H6" s="9" t="n">
        <v>0.6874</v>
      </c>
      <c r="I6" s="9" t="n">
        <v>0.6633</v>
      </c>
      <c r="J6" s="9" t="n">
        <v>0.6452</v>
      </c>
      <c r="K6" s="9" t="n">
        <v>0.6211</v>
      </c>
      <c r="L6" s="9" t="n">
        <v>0.605</v>
      </c>
      <c r="M6" s="9" t="n">
        <v>0.5849</v>
      </c>
      <c r="N6" s="9" t="n">
        <v>0.5598</v>
      </c>
      <c r="O6" s="9" t="n">
        <v>0.4854</v>
      </c>
      <c r="P6" s="9" t="n">
        <v>0.4633</v>
      </c>
      <c r="Q6" s="9" t="n">
        <v>0.4402</v>
      </c>
      <c r="R6" s="9" t="n">
        <v>0.4191</v>
      </c>
      <c r="S6" s="9" t="n">
        <v>0.407</v>
      </c>
      <c r="T6" s="9" t="n">
        <v>0.391</v>
      </c>
      <c r="U6" s="9" t="n">
        <v>0.3789</v>
      </c>
      <c r="V6" s="9" t="n">
        <v>0.3638</v>
      </c>
      <c r="W6" s="2"/>
      <c r="X6" s="2"/>
      <c r="Y6" s="2"/>
      <c r="Z6" s="2"/>
    </row>
    <row r="7" customFormat="false" ht="15" hidden="false" customHeight="false" outlineLevel="0" collapsed="false">
      <c r="A7" s="2" t="n">
        <v>5</v>
      </c>
      <c r="B7" s="2" t="n">
        <v>1050</v>
      </c>
      <c r="C7" s="9" t="n">
        <v>1</v>
      </c>
      <c r="D7" s="9" t="n">
        <v>0.8905</v>
      </c>
      <c r="E7" s="9" t="n">
        <v>0.8038</v>
      </c>
      <c r="F7" s="9" t="n">
        <v>0.7543</v>
      </c>
      <c r="G7" s="9" t="n">
        <v>0.7095</v>
      </c>
      <c r="H7" s="9" t="n">
        <v>0.68</v>
      </c>
      <c r="I7" s="9" t="n">
        <v>0.6495</v>
      </c>
      <c r="J7" s="9" t="n">
        <v>0.6286</v>
      </c>
      <c r="K7" s="9" t="n">
        <v>0.6133</v>
      </c>
      <c r="L7" s="9" t="n">
        <v>0.5952</v>
      </c>
      <c r="M7" s="9" t="n">
        <v>0.5724</v>
      </c>
      <c r="N7" s="9" t="n">
        <v>0.541</v>
      </c>
      <c r="O7" s="9" t="n">
        <v>0.4648</v>
      </c>
      <c r="P7" s="9" t="n">
        <v>0.4438</v>
      </c>
      <c r="Q7" s="9" t="n">
        <v>0.4238</v>
      </c>
      <c r="R7" s="9" t="n">
        <v>0.4133</v>
      </c>
      <c r="S7" s="9" t="n">
        <v>0.4</v>
      </c>
      <c r="T7" s="9" t="n">
        <v>0.3952</v>
      </c>
      <c r="U7" s="9" t="n">
        <v>0.381</v>
      </c>
      <c r="V7" s="2"/>
      <c r="W7" s="2"/>
      <c r="X7" s="2"/>
      <c r="Y7" s="2"/>
      <c r="Z7" s="2"/>
    </row>
    <row r="8" customFormat="false" ht="15" hidden="false" customHeight="false" outlineLevel="0" collapsed="false">
      <c r="A8" s="2" t="n">
        <v>6</v>
      </c>
      <c r="B8" s="2" t="n">
        <v>991</v>
      </c>
      <c r="C8" s="9" t="n">
        <v>1</v>
      </c>
      <c r="D8" s="9" t="n">
        <v>0.9001</v>
      </c>
      <c r="E8" s="9" t="n">
        <v>0.8022</v>
      </c>
      <c r="F8" s="9" t="n">
        <v>0.7397</v>
      </c>
      <c r="G8" s="9" t="n">
        <v>0.7033</v>
      </c>
      <c r="H8" s="9" t="n">
        <v>0.6731</v>
      </c>
      <c r="I8" s="9" t="n">
        <v>0.6529</v>
      </c>
      <c r="J8" s="9" t="n">
        <v>0.6317</v>
      </c>
      <c r="K8" s="9" t="n">
        <v>0.6105</v>
      </c>
      <c r="L8" s="9" t="n">
        <v>0.5984</v>
      </c>
      <c r="M8" s="9" t="n">
        <v>0.5782</v>
      </c>
      <c r="N8" s="9" t="n">
        <v>0.5459</v>
      </c>
      <c r="O8" s="9" t="n">
        <v>0.4813</v>
      </c>
      <c r="P8" s="9" t="n">
        <v>0.4622</v>
      </c>
      <c r="Q8" s="9" t="n">
        <v>0.4521</v>
      </c>
      <c r="R8" s="9" t="n">
        <v>0.4359</v>
      </c>
      <c r="S8" s="9" t="n">
        <v>0.4198</v>
      </c>
      <c r="T8" s="9" t="n">
        <v>0.4016</v>
      </c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 t="n">
        <v>7</v>
      </c>
      <c r="B9" s="2" t="n">
        <v>1000</v>
      </c>
      <c r="C9" s="9" t="n">
        <v>1</v>
      </c>
      <c r="D9" s="9" t="n">
        <v>0.906</v>
      </c>
      <c r="E9" s="9" t="n">
        <v>0.844</v>
      </c>
      <c r="F9" s="9" t="n">
        <v>0.796</v>
      </c>
      <c r="G9" s="9" t="n">
        <v>0.756</v>
      </c>
      <c r="H9" s="9" t="n">
        <v>0.729</v>
      </c>
      <c r="I9" s="9" t="n">
        <v>0.704</v>
      </c>
      <c r="J9" s="9" t="n">
        <v>0.677</v>
      </c>
      <c r="K9" s="9" t="n">
        <v>0.65</v>
      </c>
      <c r="L9" s="9" t="n">
        <v>0.635</v>
      </c>
      <c r="M9" s="9" t="n">
        <v>0.609</v>
      </c>
      <c r="N9" s="9" t="n">
        <v>0.576</v>
      </c>
      <c r="O9" s="9" t="n">
        <v>0.503</v>
      </c>
      <c r="P9" s="9" t="n">
        <v>0.488</v>
      </c>
      <c r="Q9" s="9" t="n">
        <v>0.465</v>
      </c>
      <c r="R9" s="9" t="n">
        <v>0.453</v>
      </c>
      <c r="S9" s="9" t="n">
        <v>0.442</v>
      </c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 t="n">
        <v>8</v>
      </c>
      <c r="B10" s="2" t="n">
        <v>1081</v>
      </c>
      <c r="C10" s="9" t="n">
        <v>1</v>
      </c>
      <c r="D10" s="9" t="n">
        <v>0.9112</v>
      </c>
      <c r="E10" s="9" t="n">
        <v>0.8372</v>
      </c>
      <c r="F10" s="9" t="n">
        <v>0.7863</v>
      </c>
      <c r="G10" s="9" t="n">
        <v>0.7438</v>
      </c>
      <c r="H10" s="9" t="n">
        <v>0.7086</v>
      </c>
      <c r="I10" s="9" t="n">
        <v>0.6772</v>
      </c>
      <c r="J10" s="9" t="n">
        <v>0.6475</v>
      </c>
      <c r="K10" s="9" t="n">
        <v>0.6198</v>
      </c>
      <c r="L10" s="9" t="n">
        <v>0.5865</v>
      </c>
      <c r="M10" s="9" t="n">
        <v>0.5624</v>
      </c>
      <c r="N10" s="9" t="n">
        <v>0.5421</v>
      </c>
      <c r="O10" s="9" t="n">
        <v>0.4644</v>
      </c>
      <c r="P10" s="9" t="n">
        <v>0.4487</v>
      </c>
      <c r="Q10" s="9" t="n">
        <v>0.4348</v>
      </c>
      <c r="R10" s="9" t="n">
        <v>0.4191</v>
      </c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 t="n">
        <v>9</v>
      </c>
      <c r="B11" s="2" t="n">
        <v>1118</v>
      </c>
      <c r="C11" s="9" t="n">
        <v>1</v>
      </c>
      <c r="D11" s="9" t="n">
        <v>0.9222</v>
      </c>
      <c r="E11" s="9" t="n">
        <v>0.8318</v>
      </c>
      <c r="F11" s="9" t="n">
        <v>0.7826</v>
      </c>
      <c r="G11" s="9" t="n">
        <v>0.7406</v>
      </c>
      <c r="H11" s="9" t="n">
        <v>0.7004</v>
      </c>
      <c r="I11" s="9" t="n">
        <v>0.6816</v>
      </c>
      <c r="J11" s="9" t="n">
        <v>0.6485</v>
      </c>
      <c r="K11" s="9" t="n">
        <v>0.6172</v>
      </c>
      <c r="L11" s="9" t="n">
        <v>0.5921</v>
      </c>
      <c r="M11" s="9" t="n">
        <v>0.5653</v>
      </c>
      <c r="N11" s="9" t="n">
        <v>0.5411</v>
      </c>
      <c r="O11" s="9" t="n">
        <v>0.4741</v>
      </c>
      <c r="P11" s="9" t="n">
        <v>0.458</v>
      </c>
      <c r="Q11" s="9" t="n">
        <v>0.4401</v>
      </c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 t="n">
        <v>10</v>
      </c>
      <c r="B12" s="2" t="n">
        <v>1072</v>
      </c>
      <c r="C12" s="9" t="n">
        <v>1</v>
      </c>
      <c r="D12" s="9" t="n">
        <v>0.8974</v>
      </c>
      <c r="E12" s="9" t="n">
        <v>0.8162</v>
      </c>
      <c r="F12" s="9" t="n">
        <v>0.7771</v>
      </c>
      <c r="G12" s="9" t="n">
        <v>0.722</v>
      </c>
      <c r="H12" s="9" t="n">
        <v>0.6782</v>
      </c>
      <c r="I12" s="9" t="n">
        <v>0.6539</v>
      </c>
      <c r="J12" s="9" t="n">
        <v>0.6259</v>
      </c>
      <c r="K12" s="9" t="n">
        <v>0.6035</v>
      </c>
      <c r="L12" s="9" t="n">
        <v>0.5653</v>
      </c>
      <c r="M12" s="9" t="n">
        <v>0.5373</v>
      </c>
      <c r="N12" s="9" t="n">
        <v>0.5149</v>
      </c>
      <c r="O12" s="9" t="n">
        <v>0.4506</v>
      </c>
      <c r="P12" s="9" t="n">
        <v>0.431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 t="n">
        <v>11</v>
      </c>
      <c r="B13" s="2" t="n">
        <v>1384</v>
      </c>
      <c r="C13" s="9" t="n">
        <v>1</v>
      </c>
      <c r="D13" s="9" t="n">
        <v>0.9046</v>
      </c>
      <c r="E13" s="9" t="n">
        <v>0.815</v>
      </c>
      <c r="F13" s="9" t="n">
        <v>0.7659</v>
      </c>
      <c r="G13" s="9" t="n">
        <v>0.7254</v>
      </c>
      <c r="H13" s="9" t="n">
        <v>0.7001</v>
      </c>
      <c r="I13" s="9" t="n">
        <v>0.6741</v>
      </c>
      <c r="J13" s="9" t="n">
        <v>0.6358</v>
      </c>
      <c r="K13" s="9" t="n">
        <v>0.6098</v>
      </c>
      <c r="L13" s="9" t="n">
        <v>0.5802</v>
      </c>
      <c r="M13" s="9" t="n">
        <v>0.5614</v>
      </c>
      <c r="N13" s="9" t="n">
        <v>0.5455</v>
      </c>
      <c r="O13" s="9" t="n">
        <v>0.4863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 t="n">
        <v>12</v>
      </c>
      <c r="B14" s="2" t="n">
        <v>1317</v>
      </c>
      <c r="C14" s="9" t="n">
        <v>1</v>
      </c>
      <c r="D14" s="9" t="n">
        <v>0.9172</v>
      </c>
      <c r="E14" s="9" t="n">
        <v>0.8261</v>
      </c>
      <c r="F14" s="9" t="n">
        <v>0.7722</v>
      </c>
      <c r="G14" s="9" t="n">
        <v>0.735</v>
      </c>
      <c r="H14" s="9" t="n">
        <v>0.6955</v>
      </c>
      <c r="I14" s="9" t="n">
        <v>0.6697</v>
      </c>
      <c r="J14" s="9" t="n">
        <v>0.634</v>
      </c>
      <c r="K14" s="9" t="n">
        <v>0.6052</v>
      </c>
      <c r="L14" s="9" t="n">
        <v>0.5816</v>
      </c>
      <c r="M14" s="9" t="n">
        <v>0.5581</v>
      </c>
      <c r="N14" s="9" t="n">
        <v>0.5338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 t="n">
        <v>13</v>
      </c>
      <c r="B15" s="2" t="n">
        <v>1110</v>
      </c>
      <c r="C15" s="9" t="n">
        <v>1</v>
      </c>
      <c r="D15" s="9" t="n">
        <v>0.9198</v>
      </c>
      <c r="E15" s="9" t="n">
        <v>0.8261</v>
      </c>
      <c r="F15" s="9" t="n">
        <v>0.7739</v>
      </c>
      <c r="G15" s="9" t="n">
        <v>0.7279</v>
      </c>
      <c r="H15" s="9" t="n">
        <v>0.6847</v>
      </c>
      <c r="I15" s="9" t="n">
        <v>0.6541</v>
      </c>
      <c r="J15" s="9" t="n">
        <v>0.6252</v>
      </c>
      <c r="K15" s="9" t="n">
        <v>0.6036</v>
      </c>
      <c r="L15" s="9" t="n">
        <v>0.5856</v>
      </c>
      <c r="M15" s="9" t="n">
        <v>0.5586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 t="n">
        <v>14</v>
      </c>
      <c r="B16" s="2" t="n">
        <v>1264</v>
      </c>
      <c r="C16" s="9" t="n">
        <v>1</v>
      </c>
      <c r="D16" s="9" t="n">
        <v>0.9169</v>
      </c>
      <c r="E16" s="9" t="n">
        <v>0.8188</v>
      </c>
      <c r="F16" s="9" t="n">
        <v>0.7634</v>
      </c>
      <c r="G16" s="9" t="n">
        <v>0.7223</v>
      </c>
      <c r="H16" s="9" t="n">
        <v>0.6733</v>
      </c>
      <c r="I16" s="9" t="n">
        <v>0.6456</v>
      </c>
      <c r="J16" s="9" t="n">
        <v>0.6179</v>
      </c>
      <c r="K16" s="9" t="n">
        <v>0.5989</v>
      </c>
      <c r="L16" s="9" t="n">
        <v>0.5862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 t="n">
        <v>15</v>
      </c>
      <c r="B17" s="2" t="n">
        <v>1173</v>
      </c>
      <c r="C17" s="9" t="n">
        <v>1</v>
      </c>
      <c r="D17" s="9" t="n">
        <v>0.8968</v>
      </c>
      <c r="E17" s="9" t="n">
        <v>0.8235</v>
      </c>
      <c r="F17" s="9" t="n">
        <v>0.7519</v>
      </c>
      <c r="G17" s="9" t="n">
        <v>0.6974</v>
      </c>
      <c r="H17" s="9" t="n">
        <v>0.6607</v>
      </c>
      <c r="I17" s="9" t="n">
        <v>0.6334</v>
      </c>
      <c r="J17" s="9" t="n">
        <v>0.6121</v>
      </c>
      <c r="K17" s="9" t="n">
        <v>0.5874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 t="n">
        <v>16</v>
      </c>
      <c r="B18" s="2" t="n">
        <v>1232</v>
      </c>
      <c r="C18" s="9" t="n">
        <v>1</v>
      </c>
      <c r="D18" s="9" t="n">
        <v>0.905</v>
      </c>
      <c r="E18" s="9" t="n">
        <v>0.8011</v>
      </c>
      <c r="F18" s="9" t="n">
        <v>0.7435</v>
      </c>
      <c r="G18" s="9" t="n">
        <v>0.7005</v>
      </c>
      <c r="H18" s="9" t="n">
        <v>0.6664</v>
      </c>
      <c r="I18" s="9" t="n">
        <v>0.6356</v>
      </c>
      <c r="J18" s="9" t="n">
        <v>0.6104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 t="n">
        <v>17</v>
      </c>
      <c r="B19" s="2" t="n">
        <v>1193</v>
      </c>
      <c r="C19" s="9" t="n">
        <v>1</v>
      </c>
      <c r="D19" s="9" t="n">
        <v>0.8927</v>
      </c>
      <c r="E19" s="9" t="n">
        <v>0.8122</v>
      </c>
      <c r="F19" s="9" t="n">
        <v>0.7544</v>
      </c>
      <c r="G19" s="9" t="n">
        <v>0.7142</v>
      </c>
      <c r="H19" s="9" t="n">
        <v>0.6873</v>
      </c>
      <c r="I19" s="9" t="n">
        <v>0.6547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 t="n">
        <v>18</v>
      </c>
      <c r="B20" s="2" t="n">
        <v>1149</v>
      </c>
      <c r="C20" s="9" t="n">
        <v>1</v>
      </c>
      <c r="D20" s="9" t="n">
        <v>0.8947</v>
      </c>
      <c r="E20" s="9" t="n">
        <v>0.7807</v>
      </c>
      <c r="F20" s="9" t="n">
        <v>0.7415</v>
      </c>
      <c r="G20" s="9" t="n">
        <v>0.7023</v>
      </c>
      <c r="H20" s="9" t="n">
        <v>0.6701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false" outlineLevel="0" collapsed="false">
      <c r="A21" s="2" t="n">
        <v>19</v>
      </c>
      <c r="B21" s="2" t="n">
        <v>1197</v>
      </c>
      <c r="C21" s="9" t="n">
        <v>1</v>
      </c>
      <c r="D21" s="9" t="n">
        <v>0.8864</v>
      </c>
      <c r="E21" s="9" t="n">
        <v>0.7987</v>
      </c>
      <c r="F21" s="9" t="n">
        <v>0.7519</v>
      </c>
      <c r="G21" s="9" t="n">
        <v>0.7176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false" outlineLevel="0" collapsed="false">
      <c r="A22" s="2" t="n">
        <v>20</v>
      </c>
      <c r="B22" s="2" t="n">
        <v>1308</v>
      </c>
      <c r="C22" s="9" t="n">
        <v>1</v>
      </c>
      <c r="D22" s="9" t="n">
        <v>0.8953</v>
      </c>
      <c r="E22" s="9" t="n">
        <v>0.815</v>
      </c>
      <c r="F22" s="9" t="n">
        <v>0.7462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false" outlineLevel="0" collapsed="false">
      <c r="A23" s="2" t="n">
        <v>21</v>
      </c>
      <c r="B23" s="2" t="n">
        <v>1366</v>
      </c>
      <c r="C23" s="9" t="n">
        <v>1</v>
      </c>
      <c r="D23" s="9" t="n">
        <v>0.8887</v>
      </c>
      <c r="E23" s="9" t="n">
        <v>0.7943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false" outlineLevel="0" collapsed="false">
      <c r="A24" s="2" t="n">
        <v>22</v>
      </c>
      <c r="B24" s="2" t="n">
        <v>1389</v>
      </c>
      <c r="C24" s="9" t="n">
        <v>1</v>
      </c>
      <c r="D24" s="9" t="n">
        <v>0.8963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false" outlineLevel="0" collapsed="false">
      <c r="A25" s="2" t="n">
        <v>23</v>
      </c>
      <c r="B25" s="2" t="n">
        <v>1298</v>
      </c>
      <c r="C25" s="9" t="n">
        <v>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</sheetData>
  <conditionalFormatting sqref="C2:Z25">
    <cfRule type="colorScale" priority="2">
      <colorScale>
        <cfvo type="num" val="0.3"/>
        <cfvo type="num" val="1"/>
        <color rgb="FFFFFFFF"/>
        <color rgb="FF2A78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5"/>
    <col collapsed="false" customWidth="true" hidden="false" outlineLevel="0" max="7" min="7" style="0" width="14"/>
    <col collapsed="false" customWidth="true" hidden="false" outlineLevel="0" max="8" min="8" style="0" width="23"/>
    <col collapsed="false" customWidth="true" hidden="false" outlineLevel="0" max="9" min="9" style="0" width="41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99</v>
      </c>
      <c r="J1" s="3" t="s">
        <v>100</v>
      </c>
    </row>
    <row r="2" customFormat="false" ht="15" hidden="false" customHeight="false" outlineLevel="0" collapsed="false">
      <c r="A2" s="2" t="s">
        <v>24</v>
      </c>
      <c r="B2" s="4" t="n">
        <v>4286</v>
      </c>
      <c r="C2" s="2" t="n">
        <v>2339</v>
      </c>
      <c r="D2" s="2" t="n">
        <v>2343</v>
      </c>
      <c r="E2" s="2" t="n">
        <v>54.6</v>
      </c>
      <c r="F2" s="2" t="n">
        <v>54.7</v>
      </c>
      <c r="G2" s="4" t="n">
        <v>516920</v>
      </c>
      <c r="H2" s="4" t="n">
        <v>120.606626224918</v>
      </c>
      <c r="I2" s="4" t="n">
        <v>1749.32337844144</v>
      </c>
      <c r="J2" s="6" t="n">
        <v>14.5</v>
      </c>
    </row>
    <row r="3" customFormat="false" ht="15" hidden="false" customHeight="false" outlineLevel="0" collapsed="false">
      <c r="A3" s="2" t="s">
        <v>101</v>
      </c>
      <c r="B3" s="4" t="n">
        <v>6568</v>
      </c>
      <c r="C3" s="2" t="n">
        <v>3075</v>
      </c>
      <c r="D3" s="2" t="n">
        <v>3257</v>
      </c>
      <c r="E3" s="2" t="n">
        <v>46.8</v>
      </c>
      <c r="F3" s="2" t="n">
        <v>49.6</v>
      </c>
      <c r="G3" s="4" t="n">
        <v>1135818</v>
      </c>
      <c r="H3" s="4" t="n">
        <v>172.93209500609</v>
      </c>
      <c r="I3" s="4" t="n">
        <v>1150.4628501827</v>
      </c>
      <c r="J3" s="6" t="n">
        <v>6.65</v>
      </c>
    </row>
    <row r="4" customFormat="false" ht="15" hidden="false" customHeight="false" outlineLevel="0" collapsed="false">
      <c r="A4" s="2" t="s">
        <v>102</v>
      </c>
      <c r="B4" s="4" t="n">
        <v>10218</v>
      </c>
      <c r="C4" s="2" t="n">
        <v>5324</v>
      </c>
      <c r="D4" s="2" t="n">
        <v>4877</v>
      </c>
      <c r="E4" s="2" t="n">
        <v>52.1</v>
      </c>
      <c r="F4" s="2" t="n">
        <v>47.7</v>
      </c>
      <c r="G4" s="4" t="n">
        <v>2562501</v>
      </c>
      <c r="H4" s="4" t="n">
        <v>250.783029947152</v>
      </c>
      <c r="I4" s="4" t="n">
        <v>1377.95057741241</v>
      </c>
      <c r="J4" s="6" t="n">
        <v>5.49</v>
      </c>
    </row>
    <row r="5" customFormat="false" ht="15" hidden="false" customHeight="false" outlineLevel="0" collapsed="false">
      <c r="A5" s="2" t="s">
        <v>26</v>
      </c>
      <c r="B5" s="4" t="n">
        <v>8521</v>
      </c>
      <c r="C5" s="2" t="n">
        <v>4236</v>
      </c>
      <c r="D5" s="2" t="n">
        <v>3327</v>
      </c>
      <c r="E5" s="2" t="n">
        <v>49.7</v>
      </c>
      <c r="F5" s="2" t="n">
        <v>39</v>
      </c>
      <c r="G5" s="4" t="n">
        <v>2813583</v>
      </c>
      <c r="H5" s="4" t="n">
        <v>330.193991315573</v>
      </c>
      <c r="I5" s="4" t="n">
        <v>1059.67351249853</v>
      </c>
      <c r="J5" s="6" t="n">
        <v>3.21</v>
      </c>
    </row>
    <row r="6" customFormat="false" ht="15" hidden="false" customHeight="false" outlineLevel="0" collapsed="false">
      <c r="A6" s="2" t="s">
        <v>103</v>
      </c>
      <c r="B6" s="4" t="n">
        <v>13127</v>
      </c>
      <c r="C6" s="2" t="n">
        <v>6846</v>
      </c>
      <c r="D6" s="2" t="n">
        <v>6245</v>
      </c>
      <c r="E6" s="2" t="n">
        <v>52.2</v>
      </c>
      <c r="F6" s="2" t="n">
        <v>47.6</v>
      </c>
      <c r="G6" s="4" t="n">
        <v>0</v>
      </c>
      <c r="H6" s="4" t="n">
        <v>0</v>
      </c>
      <c r="I6" s="4" t="n">
        <v>1387.72491810772</v>
      </c>
      <c r="J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7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3" t="s">
        <v>91</v>
      </c>
      <c r="B1" s="3" t="s">
        <v>104</v>
      </c>
      <c r="C1" s="3" t="s">
        <v>105</v>
      </c>
      <c r="D1" s="3" t="s">
        <v>106</v>
      </c>
      <c r="E1" s="3" t="s">
        <v>107</v>
      </c>
      <c r="F1" s="3" t="s">
        <v>108</v>
      </c>
    </row>
    <row r="2" customFormat="false" ht="15" hidden="false" customHeight="false" outlineLevel="0" collapsed="false">
      <c r="A2" s="2" t="s">
        <v>24</v>
      </c>
      <c r="B2" s="2" t="n">
        <v>2797</v>
      </c>
      <c r="C2" s="2"/>
      <c r="D2" s="9" t="n">
        <v>0.866452285806334</v>
      </c>
      <c r="E2" s="9" t="n">
        <v>0.773772176307863</v>
      </c>
      <c r="F2" s="9" t="n">
        <v>0.648274449559516</v>
      </c>
    </row>
    <row r="3" customFormat="false" ht="15" hidden="false" customHeight="false" outlineLevel="0" collapsed="false">
      <c r="A3" s="2" t="s">
        <v>103</v>
      </c>
      <c r="B3" s="2" t="n">
        <v>7193</v>
      </c>
      <c r="C3" s="2" t="n">
        <v>70</v>
      </c>
      <c r="D3" s="9" t="n">
        <v>0.803067375973594</v>
      </c>
      <c r="E3" s="9" t="n">
        <v>0.701408069398414</v>
      </c>
      <c r="F3" s="9" t="n">
        <v>0.561926705476411</v>
      </c>
    </row>
    <row r="4" customFormat="false" ht="15" hidden="false" customHeight="false" outlineLevel="0" collapsed="false">
      <c r="A4" s="2" t="s">
        <v>102</v>
      </c>
      <c r="B4" s="2" t="n">
        <v>5704</v>
      </c>
      <c r="C4" s="2" t="n">
        <v>62</v>
      </c>
      <c r="D4" s="9" t="n">
        <v>0.789069502634581</v>
      </c>
      <c r="E4" s="9" t="n">
        <v>0.673325316512876</v>
      </c>
      <c r="F4" s="9" t="n">
        <v>0.543801088555768</v>
      </c>
    </row>
    <row r="5" customFormat="false" ht="15" hidden="false" customHeight="false" outlineLevel="0" collapsed="false">
      <c r="A5" s="2" t="s">
        <v>101</v>
      </c>
      <c r="B5" s="2" t="n">
        <v>3867</v>
      </c>
      <c r="C5" s="2" t="n">
        <v>41</v>
      </c>
      <c r="D5" s="9" t="n">
        <v>0.721169810175061</v>
      </c>
      <c r="E5" s="9" t="n">
        <v>0.586586837721335</v>
      </c>
      <c r="F5" s="9" t="n">
        <v>0.436378295665667</v>
      </c>
    </row>
    <row r="6" customFormat="false" ht="15" hidden="false" customHeight="false" outlineLevel="0" collapsed="false">
      <c r="A6" s="2" t="s">
        <v>26</v>
      </c>
      <c r="B6" s="2" t="n">
        <v>4324</v>
      </c>
      <c r="C6" s="2" t="n">
        <v>34</v>
      </c>
      <c r="D6" s="9" t="n">
        <v>0.705356467770334</v>
      </c>
      <c r="E6" s="9" t="n">
        <v>0.553026950726622</v>
      </c>
      <c r="F6" s="9" t="n">
        <v>0.413352574226134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5"/>
    <col collapsed="false" customWidth="true" hidden="false" outlineLevel="0" max="6" min="3" style="0" width="2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3" t="s">
        <v>109</v>
      </c>
      <c r="B1" s="3" t="s">
        <v>110</v>
      </c>
      <c r="C1" s="3" t="s">
        <v>111</v>
      </c>
      <c r="D1" s="3" t="s">
        <v>112</v>
      </c>
      <c r="E1" s="3" t="s">
        <v>113</v>
      </c>
      <c r="F1" s="3" t="s">
        <v>114</v>
      </c>
      <c r="G1" s="3" t="s">
        <v>115</v>
      </c>
    </row>
    <row r="2" customFormat="false" ht="15" hidden="false" customHeight="false" outlineLevel="0" collapsed="false">
      <c r="A2" s="2" t="s">
        <v>116</v>
      </c>
      <c r="B2" s="10" t="n">
        <v>-5.53502777689879</v>
      </c>
      <c r="C2" s="10" t="n">
        <v>0.0547787294486474</v>
      </c>
      <c r="D2" s="10" t="n">
        <v>-5.64239408661814</v>
      </c>
      <c r="E2" s="10" t="n">
        <v>-5.42766146717944</v>
      </c>
      <c r="F2" s="10" t="n">
        <v>0.00394609902407208</v>
      </c>
      <c r="G2" s="10"/>
    </row>
    <row r="3" customFormat="false" ht="15" hidden="false" customHeight="false" outlineLevel="0" collapsed="false">
      <c r="A3" s="2" t="s">
        <v>102</v>
      </c>
      <c r="B3" s="10" t="n">
        <v>0.071231488389004</v>
      </c>
      <c r="C3" s="10" t="n">
        <v>0.0295747086189748</v>
      </c>
      <c r="D3" s="10" t="n">
        <v>0.0132650594958133</v>
      </c>
      <c r="E3" s="10" t="n">
        <v>0.129197917282195</v>
      </c>
      <c r="F3" s="10" t="n">
        <v>1.07382977622395</v>
      </c>
      <c r="G3" s="10" t="n">
        <v>0.08</v>
      </c>
    </row>
    <row r="4" customFormat="false" ht="15" hidden="false" customHeight="false" outlineLevel="0" collapsed="false">
      <c r="A4" s="2" t="s">
        <v>26</v>
      </c>
      <c r="B4" s="10" t="n">
        <v>0.418297963518742</v>
      </c>
      <c r="C4" s="10" t="n">
        <v>0.0307025882242594</v>
      </c>
      <c r="D4" s="10" t="n">
        <v>0.358120890599194</v>
      </c>
      <c r="E4" s="10" t="n">
        <v>0.47847503643829</v>
      </c>
      <c r="F4" s="10" t="n">
        <v>1.51937332478438</v>
      </c>
      <c r="G4" s="10" t="n">
        <v>0.4</v>
      </c>
    </row>
    <row r="5" customFormat="false" ht="15" hidden="false" customHeight="false" outlineLevel="0" collapsed="false">
      <c r="A5" s="2" t="s">
        <v>24</v>
      </c>
      <c r="B5" s="10" t="n">
        <v>-0.234575540418342</v>
      </c>
      <c r="C5" s="10" t="n">
        <v>0.0414566105486303</v>
      </c>
      <c r="D5" s="10" t="n">
        <v>-0.315830497093657</v>
      </c>
      <c r="E5" s="10" t="n">
        <v>-0.153320583743026</v>
      </c>
      <c r="F5" s="10" t="n">
        <v>0.790906486227886</v>
      </c>
      <c r="G5" s="10" t="n">
        <v>-0.35</v>
      </c>
    </row>
    <row r="6" customFormat="false" ht="15" hidden="false" customHeight="false" outlineLevel="0" collapsed="false">
      <c r="A6" s="2" t="s">
        <v>101</v>
      </c>
      <c r="B6" s="10" t="n">
        <v>0.209590333958351</v>
      </c>
      <c r="C6" s="10" t="n">
        <v>0.0316540995418348</v>
      </c>
      <c r="D6" s="10" t="n">
        <v>0.147548298856355</v>
      </c>
      <c r="E6" s="10" t="n">
        <v>0.271632369060347</v>
      </c>
      <c r="F6" s="10" t="n">
        <v>1.23317276745691</v>
      </c>
      <c r="G6" s="10" t="n">
        <v>0.18</v>
      </c>
    </row>
    <row r="7" customFormat="false" ht="15" hidden="false" customHeight="false" outlineLevel="0" collapsed="false">
      <c r="A7" s="2" t="s">
        <v>117</v>
      </c>
      <c r="B7" s="10" t="n">
        <v>0.271821635383744</v>
      </c>
      <c r="C7" s="10" t="n">
        <v>0.0234820411942084</v>
      </c>
      <c r="D7" s="10" t="n">
        <v>0.225796834643096</v>
      </c>
      <c r="E7" s="10" t="n">
        <v>0.317846436124392</v>
      </c>
      <c r="F7" s="10" t="n">
        <v>1.31235290311236</v>
      </c>
      <c r="G7" s="10" t="n">
        <v>0.25</v>
      </c>
    </row>
    <row r="8" customFormat="false" ht="15" hidden="false" customHeight="false" outlineLevel="0" collapsed="false">
      <c r="A8" s="2" t="s">
        <v>118</v>
      </c>
      <c r="B8" s="10" t="n">
        <v>-0.240461189607779</v>
      </c>
      <c r="C8" s="10" t="n">
        <v>0.0309843849126867</v>
      </c>
      <c r="D8" s="10" t="n">
        <v>-0.301190584036645</v>
      </c>
      <c r="E8" s="10" t="n">
        <v>-0.179731795178913</v>
      </c>
      <c r="F8" s="10" t="n">
        <v>0.786265160115224</v>
      </c>
      <c r="G8" s="10" t="n">
        <v>-0.25</v>
      </c>
    </row>
    <row r="9" customFormat="false" ht="15" hidden="false" customHeight="false" outlineLevel="0" collapsed="false">
      <c r="A9" s="2" t="s">
        <v>119</v>
      </c>
      <c r="B9" s="10" t="n">
        <v>-0.204907219672794</v>
      </c>
      <c r="C9" s="10" t="n">
        <v>0.0246412549386175</v>
      </c>
      <c r="D9" s="10" t="n">
        <v>-0.253204079352484</v>
      </c>
      <c r="E9" s="10" t="n">
        <v>-0.156610359993104</v>
      </c>
      <c r="F9" s="10" t="n">
        <v>0.814722903162416</v>
      </c>
      <c r="G9" s="10" t="n">
        <v>-0.15</v>
      </c>
    </row>
    <row r="10" customFormat="false" ht="15" hidden="false" customHeight="false" outlineLevel="0" collapsed="false">
      <c r="A10" s="2" t="s">
        <v>120</v>
      </c>
      <c r="B10" s="10" t="n">
        <v>0.0034349257771157</v>
      </c>
      <c r="C10" s="10" t="n">
        <v>0.0270785016467169</v>
      </c>
      <c r="D10" s="10" t="n">
        <v>-0.0496389374504494</v>
      </c>
      <c r="E10" s="10" t="n">
        <v>0.0565087890046808</v>
      </c>
      <c r="F10" s="10" t="n">
        <v>1.00344083189509</v>
      </c>
      <c r="G10" s="10" t="n">
        <v>0.1</v>
      </c>
    </row>
    <row r="11" customFormat="false" ht="15" hidden="false" customHeight="false" outlineLevel="0" collapsed="false">
      <c r="A11" s="2" t="s">
        <v>121</v>
      </c>
      <c r="B11" s="10" t="n">
        <v>0.593091218900408</v>
      </c>
      <c r="C11" s="10" t="n">
        <v>0.0361326104856433</v>
      </c>
      <c r="D11" s="10" t="n">
        <v>0.522271302348547</v>
      </c>
      <c r="E11" s="10" t="n">
        <v>0.663911135452269</v>
      </c>
      <c r="F11" s="10" t="n">
        <v>1.8095735664985</v>
      </c>
      <c r="G11" s="10"/>
    </row>
    <row r="12" customFormat="false" ht="15" hidden="false" customHeight="false" outlineLevel="0" collapsed="false">
      <c r="A12" s="2" t="s">
        <v>122</v>
      </c>
      <c r="B12" s="10" t="n">
        <v>-0.579851784651201</v>
      </c>
      <c r="C12" s="10" t="n">
        <v>0.0201211217330516</v>
      </c>
      <c r="D12" s="10" t="n">
        <v>-0.619289183247982</v>
      </c>
      <c r="E12" s="10" t="n">
        <v>-0.54041438605442</v>
      </c>
      <c r="F12" s="10" t="n">
        <v>0.559981358247263</v>
      </c>
      <c r="G12" s="10" t="n">
        <v>-0.45</v>
      </c>
    </row>
    <row r="13" customFormat="false" ht="15" hidden="false" customHeight="false" outlineLevel="0" collapsed="false">
      <c r="A13" s="2" t="s">
        <v>123</v>
      </c>
      <c r="B13" s="10" t="n">
        <v>0.237207899528207</v>
      </c>
      <c r="C13" s="10" t="n">
        <v>0.0241713961985441</v>
      </c>
      <c r="D13" s="10" t="n">
        <v>0.189831962979061</v>
      </c>
      <c r="E13" s="10" t="n">
        <v>0.284583836077354</v>
      </c>
      <c r="F13" s="10" t="n">
        <v>1.2677046455784</v>
      </c>
      <c r="G13" s="10" t="n">
        <v>0.28</v>
      </c>
    </row>
    <row r="14" customFormat="false" ht="15" hidden="false" customHeight="false" outlineLevel="0" collapsed="false">
      <c r="A14" s="2" t="s">
        <v>124</v>
      </c>
      <c r="B14" s="10" t="n">
        <v>0.115833962856736</v>
      </c>
      <c r="C14" s="10" t="n">
        <v>0.0232400635579271</v>
      </c>
      <c r="D14" s="10" t="n">
        <v>0.0702834382831988</v>
      </c>
      <c r="E14" s="10" t="n">
        <v>0.161384487430273</v>
      </c>
      <c r="F14" s="10" t="n">
        <v>1.12280942858545</v>
      </c>
      <c r="G14" s="10" t="n">
        <v>0.15</v>
      </c>
    </row>
    <row r="15" customFormat="false" ht="15" hidden="false" customHeight="false" outlineLevel="0" collapsed="false">
      <c r="A15" s="2" t="s">
        <v>125</v>
      </c>
      <c r="B15" s="10" t="n">
        <v>1.36924505332755</v>
      </c>
      <c r="C15" s="10" t="n">
        <v>0.0422046998866288</v>
      </c>
      <c r="D15" s="10" t="n">
        <v>1.28652384154976</v>
      </c>
      <c r="E15" s="10" t="n">
        <v>1.45196626510534</v>
      </c>
      <c r="F15" s="10" t="n">
        <v>3.93238083674153</v>
      </c>
      <c r="G15" s="10"/>
    </row>
    <row r="16" customFormat="false" ht="15" hidden="false" customHeight="false" outlineLevel="0" collapsed="false">
      <c r="A16" s="2" t="s">
        <v>126</v>
      </c>
      <c r="B16" s="10" t="n">
        <v>0.812819983077848</v>
      </c>
      <c r="C16" s="10" t="n">
        <v>0.0427227909433959</v>
      </c>
      <c r="D16" s="10" t="n">
        <v>0.729083312828792</v>
      </c>
      <c r="E16" s="10" t="n">
        <v>0.896556653326904</v>
      </c>
      <c r="F16" s="10" t="n">
        <v>2.25425599559154</v>
      </c>
      <c r="G16" s="10"/>
    </row>
    <row r="17" customFormat="false" ht="15" hidden="false" customHeight="false" outlineLevel="0" collapsed="false">
      <c r="A17" s="2" t="s">
        <v>127</v>
      </c>
      <c r="B17" s="10" t="n">
        <v>0.252886359880209</v>
      </c>
      <c r="C17" s="10" t="n">
        <v>0.0404456755054401</v>
      </c>
      <c r="D17" s="10" t="n">
        <v>0.173612835889546</v>
      </c>
      <c r="E17" s="10" t="n">
        <v>0.332159883870871</v>
      </c>
      <c r="F17" s="10" t="n">
        <v>1.28773692994037</v>
      </c>
      <c r="G1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9"/>
    <col collapsed="false" customWidth="true" hidden="false" outlineLevel="0" max="4" min="3" style="0" width="20"/>
    <col collapsed="false" customWidth="true" hidden="false" outlineLevel="0" max="7" min="5" style="0" width="21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3" t="s">
        <v>128</v>
      </c>
      <c r="B1" s="3" t="s">
        <v>129</v>
      </c>
      <c r="C1" s="3" t="s">
        <v>130</v>
      </c>
      <c r="D1" s="3" t="s">
        <v>131</v>
      </c>
      <c r="E1" s="3" t="s">
        <v>132</v>
      </c>
      <c r="F1" s="3" t="s">
        <v>133</v>
      </c>
      <c r="G1" s="3" t="s">
        <v>134</v>
      </c>
      <c r="H1" s="3" t="s">
        <v>66</v>
      </c>
    </row>
    <row r="2" customFormat="false" ht="15" hidden="false" customHeight="false" outlineLevel="0" collapsed="false">
      <c r="A2" s="2" t="s">
        <v>135</v>
      </c>
      <c r="B2" s="6" t="n">
        <v>6.9125791264165</v>
      </c>
      <c r="C2" s="11" t="n">
        <v>2.09217313026229</v>
      </c>
      <c r="D2" s="11" t="n">
        <v>0.501431803256548</v>
      </c>
      <c r="E2" s="9" t="n">
        <v>0.450167110917225</v>
      </c>
      <c r="F2" s="11" t="n">
        <v>0.230151990677729</v>
      </c>
      <c r="G2" s="9" t="n">
        <v>0.228478050954468</v>
      </c>
      <c r="H2" s="4" t="n">
        <v>6152</v>
      </c>
    </row>
    <row r="3" customFormat="false" ht="15" hidden="false" customHeight="false" outlineLevel="0" collapsed="false">
      <c r="A3" s="2" t="s">
        <v>136</v>
      </c>
      <c r="B3" s="6" t="n">
        <v>4.39182116537684</v>
      </c>
      <c r="C3" s="11" t="n">
        <v>1.14273286831391</v>
      </c>
      <c r="D3" s="11" t="n">
        <v>0.89930540313444</v>
      </c>
      <c r="E3" s="9" t="n">
        <v>0.699349097821307</v>
      </c>
      <c r="F3" s="11" t="n">
        <v>0.239897939375388</v>
      </c>
      <c r="G3" s="9" t="n">
        <v>0.253658174255367</v>
      </c>
      <c r="H3" s="4" t="n">
        <v>6830</v>
      </c>
    </row>
    <row r="4" customFormat="false" ht="15" hidden="false" customHeight="false" outlineLevel="0" collapsed="false">
      <c r="A4" s="2" t="s">
        <v>137</v>
      </c>
      <c r="B4" s="6" t="n">
        <v>3.90448921287472</v>
      </c>
      <c r="C4" s="11" t="n">
        <v>0.66215653680975</v>
      </c>
      <c r="D4" s="11" t="n">
        <v>1.16178926764252</v>
      </c>
      <c r="E4" s="9" t="n">
        <v>0.300375391285757</v>
      </c>
      <c r="F4" s="11" t="n">
        <v>0.190473404081404</v>
      </c>
      <c r="G4" s="9" t="n">
        <v>0.308957884572532</v>
      </c>
      <c r="H4" s="4" t="n">
        <v>8319</v>
      </c>
    </row>
    <row r="5" customFormat="false" ht="15" hidden="false" customHeight="false" outlineLevel="0" collapsed="false">
      <c r="A5" s="2" t="s">
        <v>138</v>
      </c>
      <c r="B5" s="6" t="n">
        <v>2.23549857989418</v>
      </c>
      <c r="C5" s="11" t="n">
        <v>0.751886787701653</v>
      </c>
      <c r="D5" s="11" t="n">
        <v>1.08971323747907</v>
      </c>
      <c r="E5" s="9" t="n">
        <v>0.306901348008395</v>
      </c>
      <c r="F5" s="11" t="n">
        <v>0.361640312908785</v>
      </c>
      <c r="G5" s="9" t="n">
        <v>0.208905890217634</v>
      </c>
      <c r="H5" s="4" t="n">
        <v>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1"/>
    <col collapsed="false" customWidth="true" hidden="false" outlineLevel="0" max="3" min="3" style="0" width="24"/>
    <col collapsed="false" customWidth="true" hidden="false" outlineLevel="0" max="5" min="4" style="0" width="21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3" t="s">
        <v>139</v>
      </c>
      <c r="B1" s="3" t="s">
        <v>140</v>
      </c>
      <c r="C1" s="3" t="s">
        <v>141</v>
      </c>
      <c r="D1" s="3" t="s">
        <v>142</v>
      </c>
      <c r="E1" s="3" t="s">
        <v>143</v>
      </c>
      <c r="F1" s="3" t="s">
        <v>144</v>
      </c>
    </row>
    <row r="2" customFormat="false" ht="15" hidden="false" customHeight="false" outlineLevel="0" collapsed="false">
      <c r="A2" s="2" t="s">
        <v>145</v>
      </c>
      <c r="B2" s="10" t="n">
        <v>0.83256825390705</v>
      </c>
      <c r="C2" s="10" t="n">
        <v>0.328023345004465</v>
      </c>
      <c r="D2" s="10" t="n">
        <v>0.0356401041459729</v>
      </c>
      <c r="E2" s="10" t="n">
        <v>0.141492896519118</v>
      </c>
      <c r="F2" s="10" t="n">
        <v>0.0453271279941061</v>
      </c>
    </row>
    <row r="3" customFormat="false" ht="15" hidden="false" customHeight="false" outlineLevel="0" collapsed="false">
      <c r="A3" s="2" t="s">
        <v>146</v>
      </c>
      <c r="B3" s="10" t="n">
        <v>0.832998353478733</v>
      </c>
      <c r="C3" s="10" t="n">
        <v>0.362268210814103</v>
      </c>
      <c r="D3" s="10" t="n">
        <v>0.0342975373115098</v>
      </c>
      <c r="E3" s="10" t="n">
        <v>0.137466528962306</v>
      </c>
      <c r="F3" s="10" t="n">
        <v>0.0453271279941061</v>
      </c>
    </row>
    <row r="4" customFormat="false" ht="15" hidden="false" customHeight="false" outlineLevel="0" collapsed="false">
      <c r="A4" s="2" t="s">
        <v>147</v>
      </c>
      <c r="B4" s="10" t="n">
        <v>0.805982327959588</v>
      </c>
      <c r="C4" s="10" t="n">
        <v>0.303952035020723</v>
      </c>
      <c r="D4" s="10"/>
      <c r="E4" s="10"/>
      <c r="F4" s="10" t="n">
        <v>0.0453271279941061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12" t="s">
        <v>148</v>
      </c>
      <c r="B6" s="2"/>
      <c r="C6" s="2"/>
      <c r="D6" s="2"/>
      <c r="E6" s="2"/>
      <c r="F6" s="2"/>
    </row>
    <row r="7" customFormat="false" ht="23.85" hidden="false" customHeight="false" outlineLevel="0" collapsed="false">
      <c r="A7" s="3" t="s">
        <v>109</v>
      </c>
      <c r="B7" s="3" t="s">
        <v>149</v>
      </c>
      <c r="C7" s="3" t="s">
        <v>150</v>
      </c>
      <c r="D7" s="3"/>
      <c r="E7" s="3"/>
      <c r="F7" s="3"/>
    </row>
    <row r="8" customFormat="false" ht="15" hidden="false" customHeight="false" outlineLevel="0" collapsed="false">
      <c r="A8" s="2" t="s">
        <v>151</v>
      </c>
      <c r="B8" s="13" t="n">
        <v>0.149719125396737</v>
      </c>
      <c r="C8" s="13" t="n">
        <v>0.00433061225830321</v>
      </c>
      <c r="D8" s="2"/>
      <c r="E8" s="2"/>
      <c r="F8" s="2"/>
    </row>
    <row r="9" customFormat="false" ht="15" hidden="false" customHeight="false" outlineLevel="0" collapsed="false">
      <c r="A9" s="2" t="s">
        <v>152</v>
      </c>
      <c r="B9" s="13" t="n">
        <v>0.0357417191712085</v>
      </c>
      <c r="C9" s="13" t="n">
        <v>0.000968733722937805</v>
      </c>
      <c r="D9" s="2"/>
      <c r="E9" s="2"/>
      <c r="F9" s="2"/>
    </row>
    <row r="10" customFormat="false" ht="15" hidden="false" customHeight="false" outlineLevel="0" collapsed="false">
      <c r="A10" s="2" t="s">
        <v>153</v>
      </c>
      <c r="B10" s="13" t="n">
        <v>0.0232716506969826</v>
      </c>
      <c r="C10" s="13" t="n">
        <v>0.00203992849817455</v>
      </c>
      <c r="D10" s="2"/>
      <c r="E10" s="2"/>
      <c r="F10" s="2"/>
    </row>
    <row r="11" customFormat="false" ht="15" hidden="false" customHeight="false" outlineLevel="0" collapsed="false">
      <c r="A11" s="2" t="s">
        <v>154</v>
      </c>
      <c r="B11" s="13" t="n">
        <v>0.00621161298819914</v>
      </c>
      <c r="C11" s="13" t="n">
        <v>0.00245552481892554</v>
      </c>
      <c r="D11" s="2"/>
      <c r="E11" s="2"/>
      <c r="F11" s="2"/>
    </row>
    <row r="12" customFormat="false" ht="15" hidden="false" customHeight="false" outlineLevel="0" collapsed="false">
      <c r="A12" s="2" t="s">
        <v>155</v>
      </c>
      <c r="B12" s="13" t="n">
        <v>0.00464544724420946</v>
      </c>
      <c r="C12" s="13" t="n">
        <v>0.00163598351064459</v>
      </c>
      <c r="D12" s="2"/>
      <c r="E12" s="2"/>
      <c r="F12" s="2"/>
    </row>
    <row r="13" customFormat="false" ht="15" hidden="false" customHeight="false" outlineLevel="0" collapsed="false">
      <c r="A13" s="2" t="s">
        <v>156</v>
      </c>
      <c r="B13" s="13" t="n">
        <v>0.00309032212806961</v>
      </c>
      <c r="C13" s="13" t="n">
        <v>0.00101294221176538</v>
      </c>
      <c r="D13" s="2"/>
      <c r="E13" s="2"/>
      <c r="F13" s="2"/>
    </row>
    <row r="14" customFormat="false" ht="15" hidden="false" customHeight="false" outlineLevel="0" collapsed="false">
      <c r="A14" s="2" t="s">
        <v>157</v>
      </c>
      <c r="B14" s="13" t="n">
        <v>0.00283838049794487</v>
      </c>
      <c r="C14" s="13" t="n">
        <v>0.00101085374835012</v>
      </c>
      <c r="D14" s="2"/>
      <c r="E14" s="2"/>
      <c r="F14" s="2"/>
    </row>
    <row r="15" customFormat="false" ht="15" hidden="false" customHeight="false" outlineLevel="0" collapsed="false">
      <c r="A15" s="2" t="s">
        <v>158</v>
      </c>
      <c r="B15" s="13" t="n">
        <v>0.00219944424640417</v>
      </c>
      <c r="C15" s="13" t="n">
        <v>0.000927024876428739</v>
      </c>
      <c r="D15" s="2"/>
      <c r="E15" s="2"/>
      <c r="F15" s="2"/>
    </row>
    <row r="16" customFormat="false" ht="15" hidden="false" customHeight="false" outlineLevel="0" collapsed="false">
      <c r="A16" s="2" t="s">
        <v>159</v>
      </c>
      <c r="B16" s="13" t="n">
        <v>0.00187950655036206</v>
      </c>
      <c r="C16" s="13" t="n">
        <v>0.000498753394361269</v>
      </c>
      <c r="D16" s="2"/>
      <c r="E16" s="2"/>
      <c r="F16" s="2"/>
    </row>
    <row r="17" customFormat="false" ht="15" hidden="false" customHeight="false" outlineLevel="0" collapsed="false">
      <c r="A17" s="2" t="s">
        <v>160</v>
      </c>
      <c r="B17" s="13" t="n">
        <v>0.00175610119239353</v>
      </c>
      <c r="C17" s="13" t="n">
        <v>0.000546261002598292</v>
      </c>
      <c r="D17" s="2"/>
      <c r="E17" s="2"/>
      <c r="F17" s="2"/>
    </row>
    <row r="18" customFormat="false" ht="15" hidden="false" customHeight="false" outlineLevel="0" collapsed="false">
      <c r="A18" s="2" t="s">
        <v>161</v>
      </c>
      <c r="B18" s="13" t="n">
        <v>0.00099867289133595</v>
      </c>
      <c r="C18" s="13" t="n">
        <v>0.000741400344924291</v>
      </c>
      <c r="D18" s="2"/>
      <c r="E18" s="2"/>
      <c r="F18" s="2"/>
    </row>
    <row r="19" customFormat="false" ht="15" hidden="false" customHeight="false" outlineLevel="0" collapsed="false">
      <c r="A19" s="2" t="s">
        <v>162</v>
      </c>
      <c r="B19" s="13" t="n">
        <v>0.000946550591186135</v>
      </c>
      <c r="C19" s="13" t="n">
        <v>0.000491899980766355</v>
      </c>
      <c r="D19" s="2"/>
      <c r="E19" s="2"/>
      <c r="F19" s="2"/>
    </row>
    <row r="20" customFormat="false" ht="15" hidden="false" customHeight="false" outlineLevel="0" collapsed="false">
      <c r="A20" s="2" t="s">
        <v>163</v>
      </c>
      <c r="B20" s="13" t="n">
        <v>0.000809241372004199</v>
      </c>
      <c r="C20" s="13" t="n">
        <v>0.000350929267623331</v>
      </c>
      <c r="D20" s="2"/>
      <c r="E20" s="2"/>
      <c r="F20" s="2"/>
    </row>
    <row r="21" customFormat="false" ht="15" hidden="false" customHeight="false" outlineLevel="0" collapsed="false">
      <c r="A21" s="2" t="s">
        <v>164</v>
      </c>
      <c r="B21" s="13" t="n">
        <v>0.000287090682895475</v>
      </c>
      <c r="C21" s="13" t="n">
        <v>0.000455390563845394</v>
      </c>
      <c r="D21" s="2"/>
      <c r="E21" s="2"/>
      <c r="F21" s="2"/>
    </row>
    <row r="22" customFormat="false" ht="15" hidden="false" customHeight="false" outlineLevel="0" collapsed="false">
      <c r="A22" s="2" t="s">
        <v>165</v>
      </c>
      <c r="B22" s="13" t="n">
        <v>0.000184483852079564</v>
      </c>
      <c r="C22" s="13" t="n">
        <v>0.000195823784099568</v>
      </c>
      <c r="D22" s="2"/>
      <c r="E22" s="2"/>
      <c r="F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3" t="s">
        <v>166</v>
      </c>
      <c r="B1" s="3" t="s">
        <v>167</v>
      </c>
      <c r="C1" s="3" t="s">
        <v>168</v>
      </c>
      <c r="D1" s="3" t="s">
        <v>169</v>
      </c>
      <c r="E1" s="3" t="s">
        <v>170</v>
      </c>
      <c r="F1" s="3" t="s">
        <v>171</v>
      </c>
      <c r="G1" s="3" t="s">
        <v>172</v>
      </c>
    </row>
    <row r="2" customFormat="false" ht="15" hidden="false" customHeight="false" outlineLevel="0" collapsed="false">
      <c r="A2" s="2" t="n">
        <v>54083</v>
      </c>
      <c r="B2" s="5" t="n">
        <v>0.754966486692994</v>
      </c>
      <c r="C2" s="11" t="n">
        <v>0.565055727958679</v>
      </c>
      <c r="D2" s="6" t="n">
        <v>0.759999990463257</v>
      </c>
      <c r="E2" s="14" t="n">
        <v>5.28571428571429</v>
      </c>
      <c r="F2" s="2" t="n">
        <v>1</v>
      </c>
      <c r="G2" s="2" t="n">
        <v>0</v>
      </c>
    </row>
    <row r="3" customFormat="false" ht="15" hidden="false" customHeight="false" outlineLevel="0" collapsed="false">
      <c r="A3" s="2" t="n">
        <v>51059</v>
      </c>
      <c r="B3" s="5" t="n">
        <v>0.750865144703719</v>
      </c>
      <c r="C3" s="11" t="n">
        <v>0.531104922294617</v>
      </c>
      <c r="D3" s="6" t="n">
        <v>0.715000033378601</v>
      </c>
      <c r="E3" s="14" t="n">
        <v>9.71428571428571</v>
      </c>
      <c r="F3" s="2" t="n">
        <v>1</v>
      </c>
      <c r="G3" s="2" t="n">
        <v>0</v>
      </c>
    </row>
    <row r="4" customFormat="false" ht="15" hidden="false" customHeight="false" outlineLevel="0" collapsed="false">
      <c r="A4" s="2" t="n">
        <v>53245</v>
      </c>
      <c r="B4" s="5" t="n">
        <v>0.739157968829753</v>
      </c>
      <c r="C4" s="11" t="n">
        <v>0.357142865657806</v>
      </c>
      <c r="D4" s="6" t="n">
        <v>0.625</v>
      </c>
      <c r="E4" s="14" t="n">
        <v>6.42857142857143</v>
      </c>
      <c r="F4" s="2" t="n">
        <v>0</v>
      </c>
      <c r="G4" s="2" t="n">
        <v>0</v>
      </c>
    </row>
    <row r="5" customFormat="false" ht="15" hidden="false" customHeight="false" outlineLevel="0" collapsed="false">
      <c r="A5" s="2" t="n">
        <v>47825</v>
      </c>
      <c r="B5" s="5" t="n">
        <v>0.724685632861169</v>
      </c>
      <c r="C5" s="11" t="n">
        <v>0.519760489463806</v>
      </c>
      <c r="D5" s="6" t="n">
        <v>1.08500003814697</v>
      </c>
      <c r="E5" s="14" t="n">
        <v>14.5714285714286</v>
      </c>
      <c r="F5" s="2" t="n">
        <v>0</v>
      </c>
      <c r="G5" s="2" t="n">
        <v>0</v>
      </c>
    </row>
    <row r="6" customFormat="false" ht="15" hidden="false" customHeight="false" outlineLevel="0" collapsed="false">
      <c r="A6" s="2" t="n">
        <v>51896</v>
      </c>
      <c r="B6" s="5" t="n">
        <v>0.701552187065079</v>
      </c>
      <c r="C6" s="11" t="n">
        <v>0.555314540863037</v>
      </c>
      <c r="D6" s="6" t="n">
        <v>1.59999990463257</v>
      </c>
      <c r="E6" s="14" t="n">
        <v>8.42857142857143</v>
      </c>
      <c r="F6" s="2" t="n">
        <v>1</v>
      </c>
      <c r="G6" s="2" t="n">
        <v>0</v>
      </c>
    </row>
    <row r="7" customFormat="false" ht="15" hidden="false" customHeight="false" outlineLevel="0" collapsed="false">
      <c r="A7" s="2" t="n">
        <v>54768</v>
      </c>
      <c r="B7" s="5" t="n">
        <v>0.683774408920504</v>
      </c>
      <c r="C7" s="11" t="n">
        <v>0.424003690481186</v>
      </c>
      <c r="D7" s="6" t="n">
        <v>0.914999961853027</v>
      </c>
      <c r="E7" s="14" t="n">
        <v>4.28571428571429</v>
      </c>
      <c r="F7" s="2" t="n">
        <v>0</v>
      </c>
      <c r="G7" s="2" t="n">
        <v>0</v>
      </c>
    </row>
    <row r="8" customFormat="false" ht="15" hidden="false" customHeight="false" outlineLevel="0" collapsed="false">
      <c r="A8" s="2" t="n">
        <v>54028</v>
      </c>
      <c r="B8" s="5" t="n">
        <v>0.683483478608072</v>
      </c>
      <c r="C8" s="11" t="n">
        <v>0.694840848445892</v>
      </c>
      <c r="D8" s="6" t="n">
        <v>1.0550000667572</v>
      </c>
      <c r="E8" s="14" t="n">
        <v>5.28571428571429</v>
      </c>
      <c r="F8" s="2" t="n">
        <v>1</v>
      </c>
      <c r="G8" s="2" t="n">
        <v>0</v>
      </c>
    </row>
    <row r="9" customFormat="false" ht="15" hidden="false" customHeight="false" outlineLevel="0" collapsed="false">
      <c r="A9" s="2" t="n">
        <v>52994</v>
      </c>
      <c r="B9" s="5" t="n">
        <v>0.683274790586835</v>
      </c>
      <c r="C9" s="11" t="n">
        <v>0.285024166107178</v>
      </c>
      <c r="D9" s="6" t="n">
        <v>0.590000033378601</v>
      </c>
      <c r="E9" s="14" t="n">
        <v>6.71428571428571</v>
      </c>
      <c r="F9" s="2" t="n">
        <v>1</v>
      </c>
      <c r="G9" s="2" t="n">
        <v>0</v>
      </c>
    </row>
    <row r="10" customFormat="false" ht="15" hidden="false" customHeight="false" outlineLevel="0" collapsed="false">
      <c r="A10" s="2" t="n">
        <v>53531</v>
      </c>
      <c r="B10" s="5" t="n">
        <v>0.679186973934252</v>
      </c>
      <c r="C10" s="11" t="n">
        <v>0.371928781270981</v>
      </c>
      <c r="D10" s="6" t="n">
        <v>0.865000009536743</v>
      </c>
      <c r="E10" s="14" t="n">
        <v>6.14285714285714</v>
      </c>
      <c r="F10" s="2" t="n">
        <v>1</v>
      </c>
      <c r="G10" s="2" t="n">
        <v>0</v>
      </c>
    </row>
    <row r="11" customFormat="false" ht="15" hidden="false" customHeight="false" outlineLevel="0" collapsed="false">
      <c r="A11" s="2" t="n">
        <v>53019</v>
      </c>
      <c r="B11" s="5" t="n">
        <v>0.677754359525492</v>
      </c>
      <c r="C11" s="11" t="n">
        <v>0.535236120223999</v>
      </c>
      <c r="D11" s="6" t="n">
        <v>1.08500003814697</v>
      </c>
      <c r="E11" s="14" t="n">
        <v>6.71428571428571</v>
      </c>
      <c r="F11" s="2" t="n">
        <v>0</v>
      </c>
      <c r="G11" s="2" t="n">
        <v>1</v>
      </c>
    </row>
    <row r="12" customFormat="false" ht="15" hidden="false" customHeight="false" outlineLevel="0" collapsed="false">
      <c r="A12" s="2" t="n">
        <v>52987</v>
      </c>
      <c r="B12" s="5" t="n">
        <v>0.671110015061301</v>
      </c>
      <c r="C12" s="11" t="n">
        <v>0.499560862779617</v>
      </c>
      <c r="D12" s="6" t="n">
        <v>1.625</v>
      </c>
      <c r="E12" s="14" t="n">
        <v>6.71428571428571</v>
      </c>
      <c r="F12" s="2" t="n">
        <v>1</v>
      </c>
      <c r="G12" s="2" t="n">
        <v>0</v>
      </c>
    </row>
    <row r="13" customFormat="false" ht="15" hidden="false" customHeight="false" outlineLevel="0" collapsed="false">
      <c r="A13" s="2" t="n">
        <v>42116</v>
      </c>
      <c r="B13" s="5" t="n">
        <v>0.670814357671871</v>
      </c>
      <c r="C13" s="11" t="n">
        <v>0.34127351641655</v>
      </c>
      <c r="D13" s="6" t="n">
        <v>1.49000000953674</v>
      </c>
      <c r="E13" s="14" t="n">
        <v>6.14285714285714</v>
      </c>
      <c r="F13" s="2" t="n">
        <v>1</v>
      </c>
      <c r="G13" s="2" t="n">
        <v>0</v>
      </c>
    </row>
    <row r="14" customFormat="false" ht="15" hidden="false" customHeight="false" outlineLevel="0" collapsed="false">
      <c r="A14" s="2" t="n">
        <v>52750</v>
      </c>
      <c r="B14" s="5" t="n">
        <v>0.66974491464026</v>
      </c>
      <c r="C14" s="11" t="n">
        <v>0.465215086936951</v>
      </c>
      <c r="D14" s="6" t="n">
        <v>1.09500002861023</v>
      </c>
      <c r="E14" s="14" t="n">
        <v>7.14285714285714</v>
      </c>
      <c r="F14" s="2" t="n">
        <v>0</v>
      </c>
      <c r="G14" s="2" t="n">
        <v>0</v>
      </c>
    </row>
    <row r="15" customFormat="false" ht="15" hidden="false" customHeight="false" outlineLevel="0" collapsed="false">
      <c r="A15" s="2" t="n">
        <v>46844</v>
      </c>
      <c r="B15" s="5" t="n">
        <v>0.667114383334949</v>
      </c>
      <c r="C15" s="11" t="n">
        <v>0.520601689815521</v>
      </c>
      <c r="D15" s="6" t="n">
        <v>0.995000004768372</v>
      </c>
      <c r="E15" s="14" t="n">
        <v>16.1428571428571</v>
      </c>
      <c r="F15" s="2" t="n">
        <v>1</v>
      </c>
      <c r="G15" s="2" t="n">
        <v>0</v>
      </c>
    </row>
    <row r="16" customFormat="false" ht="15" hidden="false" customHeight="false" outlineLevel="0" collapsed="false">
      <c r="A16" s="2" t="n">
        <v>52447</v>
      </c>
      <c r="B16" s="5" t="n">
        <v>0.666397315280453</v>
      </c>
      <c r="C16" s="11" t="n">
        <v>0.528534770011902</v>
      </c>
      <c r="D16" s="6" t="n">
        <v>1.28500008583069</v>
      </c>
      <c r="E16" s="14" t="n">
        <v>7.57142857142857</v>
      </c>
      <c r="F16" s="2" t="n">
        <v>0</v>
      </c>
      <c r="G16" s="2" t="n">
        <v>0</v>
      </c>
    </row>
    <row r="17" customFormat="false" ht="15" hidden="false" customHeight="false" outlineLevel="0" collapsed="false">
      <c r="A17" s="2" t="n">
        <v>54875</v>
      </c>
      <c r="B17" s="5" t="n">
        <v>0.665426129183076</v>
      </c>
      <c r="C17" s="11" t="n">
        <v>0.524450719356537</v>
      </c>
      <c r="D17" s="6" t="n">
        <v>1.48000001907349</v>
      </c>
      <c r="E17" s="14" t="n">
        <v>4.14285714285714</v>
      </c>
      <c r="F17" s="2" t="n">
        <v>0</v>
      </c>
      <c r="G17" s="2" t="n">
        <v>0</v>
      </c>
    </row>
    <row r="18" customFormat="false" ht="15" hidden="false" customHeight="false" outlineLevel="0" collapsed="false">
      <c r="A18" s="2" t="n">
        <v>53429</v>
      </c>
      <c r="B18" s="5" t="n">
        <v>0.656214636507797</v>
      </c>
      <c r="C18" s="11" t="n">
        <v>0.548828065395355</v>
      </c>
      <c r="D18" s="6" t="n">
        <v>1.40499997138977</v>
      </c>
      <c r="E18" s="14" t="n">
        <v>6.14285714285714</v>
      </c>
      <c r="F18" s="2" t="n">
        <v>1</v>
      </c>
      <c r="G18" s="2" t="n">
        <v>0</v>
      </c>
    </row>
    <row r="19" customFormat="false" ht="15" hidden="false" customHeight="false" outlineLevel="0" collapsed="false">
      <c r="A19" s="2" t="n">
        <v>54857</v>
      </c>
      <c r="B19" s="5" t="n">
        <v>0.655865965241638</v>
      </c>
      <c r="C19" s="11" t="n">
        <v>0.477811425924301</v>
      </c>
      <c r="D19" s="6" t="n">
        <v>1.89499998092651</v>
      </c>
      <c r="E19" s="14" t="n">
        <v>4.14285714285714</v>
      </c>
      <c r="F19" s="2" t="n">
        <v>1</v>
      </c>
      <c r="G19" s="2" t="n">
        <v>0</v>
      </c>
    </row>
    <row r="20" customFormat="false" ht="15" hidden="false" customHeight="false" outlineLevel="0" collapsed="false">
      <c r="A20" s="2" t="n">
        <v>51819</v>
      </c>
      <c r="B20" s="5" t="n">
        <v>0.655581771148002</v>
      </c>
      <c r="C20" s="11" t="n">
        <v>0.584598064422607</v>
      </c>
      <c r="D20" s="6" t="n">
        <v>1.29999995231628</v>
      </c>
      <c r="E20" s="14" t="n">
        <v>8.57142857142857</v>
      </c>
      <c r="F20" s="2" t="n">
        <v>1</v>
      </c>
      <c r="G20" s="2" t="n">
        <v>0</v>
      </c>
    </row>
    <row r="21" customFormat="false" ht="15" hidden="false" customHeight="false" outlineLevel="0" collapsed="false">
      <c r="A21" s="2" t="n">
        <v>49921</v>
      </c>
      <c r="B21" s="5" t="n">
        <v>0.655529588979657</v>
      </c>
      <c r="C21" s="11" t="n">
        <v>0.508562505245209</v>
      </c>
      <c r="D21" s="6" t="n">
        <v>1.22500002384186</v>
      </c>
      <c r="E21" s="14" t="n">
        <v>11.4285714285714</v>
      </c>
      <c r="F21" s="2" t="n">
        <v>1</v>
      </c>
      <c r="G21" s="2" t="n">
        <v>0</v>
      </c>
    </row>
    <row r="22" customFormat="false" ht="15" hidden="false" customHeight="false" outlineLevel="0" collapsed="false">
      <c r="A22" s="2" t="n">
        <v>53570</v>
      </c>
      <c r="B22" s="5" t="n">
        <v>0.652542364031729</v>
      </c>
      <c r="C22" s="11" t="n">
        <v>0.562387049198151</v>
      </c>
      <c r="D22" s="6" t="n">
        <v>1.5550000667572</v>
      </c>
      <c r="E22" s="14" t="n">
        <v>6</v>
      </c>
      <c r="F22" s="2" t="n">
        <v>0</v>
      </c>
      <c r="G22" s="2" t="n">
        <v>0</v>
      </c>
    </row>
    <row r="23" customFormat="false" ht="15" hidden="false" customHeight="false" outlineLevel="0" collapsed="false">
      <c r="A23" s="2" t="n">
        <v>47083</v>
      </c>
      <c r="B23" s="5" t="n">
        <v>0.651355938686281</v>
      </c>
      <c r="C23" s="11" t="n">
        <v>0.554036200046539</v>
      </c>
      <c r="D23" s="6" t="n">
        <v>1.5699999332428</v>
      </c>
      <c r="E23" s="14" t="n">
        <v>15.7142857142857</v>
      </c>
      <c r="F23" s="2" t="n">
        <v>1</v>
      </c>
      <c r="G23" s="2" t="n">
        <v>0</v>
      </c>
    </row>
    <row r="24" customFormat="false" ht="15" hidden="false" customHeight="false" outlineLevel="0" collapsed="false">
      <c r="A24" s="2" t="n">
        <v>47146</v>
      </c>
      <c r="B24" s="5" t="n">
        <v>0.651044655402726</v>
      </c>
      <c r="C24" s="11" t="n">
        <v>0.496240586042404</v>
      </c>
      <c r="D24" s="6" t="n">
        <v>0.824999988079071</v>
      </c>
      <c r="E24" s="14" t="n">
        <v>15.5714285714286</v>
      </c>
      <c r="F24" s="2" t="n">
        <v>1</v>
      </c>
      <c r="G24" s="2" t="n">
        <v>0</v>
      </c>
    </row>
    <row r="25" customFormat="false" ht="15" hidden="false" customHeight="false" outlineLevel="0" collapsed="false">
      <c r="A25" s="2" t="n">
        <v>50906</v>
      </c>
      <c r="B25" s="5" t="n">
        <v>0.65027226332452</v>
      </c>
      <c r="C25" s="11" t="n">
        <v>0.35436686873436</v>
      </c>
      <c r="D25" s="6" t="n">
        <v>1.05999994277954</v>
      </c>
      <c r="E25" s="14" t="n">
        <v>10</v>
      </c>
      <c r="F25" s="2" t="n">
        <v>0</v>
      </c>
      <c r="G25" s="2" t="n">
        <v>0</v>
      </c>
    </row>
    <row r="26" customFormat="false" ht="15" hidden="false" customHeight="false" outlineLevel="0" collapsed="false">
      <c r="A26" s="2" t="n">
        <v>54062</v>
      </c>
      <c r="B26" s="5" t="n">
        <v>0.648795519209513</v>
      </c>
      <c r="C26" s="11" t="n">
        <v>0.35968229174614</v>
      </c>
      <c r="D26" s="6" t="n">
        <v>1.58500003814697</v>
      </c>
      <c r="E26" s="14" t="n">
        <v>5.28571428571429</v>
      </c>
      <c r="F26" s="2" t="n">
        <v>1</v>
      </c>
      <c r="G26" s="2" t="n">
        <v>0</v>
      </c>
    </row>
    <row r="27" customFormat="false" ht="15" hidden="false" customHeight="false" outlineLevel="0" collapsed="false">
      <c r="A27" s="2" t="n">
        <v>54183</v>
      </c>
      <c r="B27" s="5" t="n">
        <v>0.648712657533579</v>
      </c>
      <c r="C27" s="11" t="n">
        <v>0.465703964233398</v>
      </c>
      <c r="D27" s="6" t="n">
        <v>2.15000009536743</v>
      </c>
      <c r="E27" s="14" t="n">
        <v>5.14285714285714</v>
      </c>
      <c r="F27" s="2" t="n">
        <v>1</v>
      </c>
      <c r="G27" s="2" t="n">
        <v>0</v>
      </c>
    </row>
    <row r="28" customFormat="false" ht="15" hidden="false" customHeight="false" outlineLevel="0" collapsed="false">
      <c r="A28" s="2" t="n">
        <v>45959</v>
      </c>
      <c r="B28" s="5" t="n">
        <v>0.648369483840616</v>
      </c>
      <c r="C28" s="11" t="n">
        <v>0.493267208337784</v>
      </c>
      <c r="D28" s="6" t="n">
        <v>0.870000004768372</v>
      </c>
      <c r="E28" s="14" t="n">
        <v>17.7142857142857</v>
      </c>
      <c r="F28" s="2" t="n">
        <v>0</v>
      </c>
      <c r="G28" s="2" t="n">
        <v>0</v>
      </c>
    </row>
    <row r="29" customFormat="false" ht="15" hidden="false" customHeight="false" outlineLevel="0" collapsed="false">
      <c r="A29" s="2" t="n">
        <v>53635</v>
      </c>
      <c r="B29" s="5" t="n">
        <v>0.648122731697189</v>
      </c>
      <c r="C29" s="11" t="n">
        <v>0.352834761142731</v>
      </c>
      <c r="D29" s="6" t="n">
        <v>0.975000023841858</v>
      </c>
      <c r="E29" s="14" t="n">
        <v>5.85714285714286</v>
      </c>
      <c r="F29" s="2" t="n">
        <v>0</v>
      </c>
      <c r="G29" s="2" t="n">
        <v>0</v>
      </c>
    </row>
    <row r="30" customFormat="false" ht="15" hidden="false" customHeight="false" outlineLevel="0" collapsed="false">
      <c r="A30" s="2" t="n">
        <v>51256</v>
      </c>
      <c r="B30" s="5" t="n">
        <v>0.648057515442212</v>
      </c>
      <c r="C30" s="11" t="n">
        <v>0.5625319480896</v>
      </c>
      <c r="D30" s="6" t="n">
        <v>2.75500011444092</v>
      </c>
      <c r="E30" s="14" t="n">
        <v>9.42857142857143</v>
      </c>
      <c r="F30" s="2" t="n">
        <v>1</v>
      </c>
      <c r="G30" s="2" t="n">
        <v>0</v>
      </c>
    </row>
    <row r="31" customFormat="false" ht="15" hidden="false" customHeight="false" outlineLevel="0" collapsed="false">
      <c r="A31" s="2" t="n">
        <v>46997</v>
      </c>
      <c r="B31" s="5" t="n">
        <v>0.645761904408333</v>
      </c>
      <c r="C31" s="11" t="n">
        <v>0.355149060487747</v>
      </c>
      <c r="D31" s="6" t="n">
        <v>2.81500005722046</v>
      </c>
      <c r="E31" s="14" t="n">
        <v>15.8571428571429</v>
      </c>
      <c r="F31" s="2" t="n">
        <v>1</v>
      </c>
      <c r="G31" s="2" t="n">
        <v>0</v>
      </c>
    </row>
    <row r="32" customFormat="false" ht="15" hidden="false" customHeight="false" outlineLevel="0" collapsed="false">
      <c r="A32" s="2" t="n">
        <v>50101</v>
      </c>
      <c r="B32" s="5" t="n">
        <v>0.641498685940276</v>
      </c>
      <c r="C32" s="11" t="n">
        <v>0.440097838640213</v>
      </c>
      <c r="D32" s="6" t="n">
        <v>0.675000011920929</v>
      </c>
      <c r="E32" s="14" t="n">
        <v>11.1428571428571</v>
      </c>
      <c r="F32" s="2" t="n">
        <v>1</v>
      </c>
      <c r="G32" s="2" t="n">
        <v>0</v>
      </c>
    </row>
    <row r="33" customFormat="false" ht="15" hidden="false" customHeight="false" outlineLevel="0" collapsed="false">
      <c r="A33" s="2" t="n">
        <v>54854</v>
      </c>
      <c r="B33" s="5" t="n">
        <v>0.640861267762299</v>
      </c>
      <c r="C33" s="11" t="n">
        <v>0.47810772061348</v>
      </c>
      <c r="D33" s="6" t="n">
        <v>1.89999997615814</v>
      </c>
      <c r="E33" s="14" t="n">
        <v>4.14285714285714</v>
      </c>
      <c r="F33" s="2" t="n">
        <v>1</v>
      </c>
      <c r="G33" s="2" t="n">
        <v>0</v>
      </c>
    </row>
    <row r="34" customFormat="false" ht="15" hidden="false" customHeight="false" outlineLevel="0" collapsed="false">
      <c r="A34" s="2" t="n">
        <v>52932</v>
      </c>
      <c r="B34" s="5" t="n">
        <v>0.638499225609277</v>
      </c>
      <c r="C34" s="11" t="n">
        <v>0.506528854370117</v>
      </c>
      <c r="D34" s="6" t="n">
        <v>1.99499988555908</v>
      </c>
      <c r="E34" s="14" t="n">
        <v>6.85714285714286</v>
      </c>
      <c r="F34" s="2" t="n">
        <v>1</v>
      </c>
      <c r="G34" s="2" t="n">
        <v>0</v>
      </c>
    </row>
    <row r="35" customFormat="false" ht="15" hidden="false" customHeight="false" outlineLevel="0" collapsed="false">
      <c r="A35" s="2" t="n">
        <v>53557</v>
      </c>
      <c r="B35" s="5" t="n">
        <v>0.633307308189414</v>
      </c>
      <c r="C35" s="11" t="n">
        <v>0.39948645234108</v>
      </c>
      <c r="D35" s="6" t="n">
        <v>1.81500005722046</v>
      </c>
      <c r="E35" s="14" t="n">
        <v>6</v>
      </c>
      <c r="F35" s="2" t="n">
        <v>1</v>
      </c>
      <c r="G35" s="2" t="n">
        <v>0</v>
      </c>
    </row>
    <row r="36" customFormat="false" ht="15" hidden="false" customHeight="false" outlineLevel="0" collapsed="false">
      <c r="A36" s="2" t="n">
        <v>49861</v>
      </c>
      <c r="B36" s="5" t="n">
        <v>0.629695825296823</v>
      </c>
      <c r="C36" s="11" t="n">
        <v>0.560646891593933</v>
      </c>
      <c r="D36" s="6" t="n">
        <v>1.29999995231628</v>
      </c>
      <c r="E36" s="14" t="n">
        <v>11.4285714285714</v>
      </c>
      <c r="F36" s="2" t="n">
        <v>0</v>
      </c>
      <c r="G36" s="2" t="n">
        <v>0</v>
      </c>
    </row>
    <row r="37" customFormat="false" ht="15" hidden="false" customHeight="false" outlineLevel="0" collapsed="false">
      <c r="A37" s="2" t="n">
        <v>54514</v>
      </c>
      <c r="B37" s="5" t="n">
        <v>0.629589992121846</v>
      </c>
      <c r="C37" s="11" t="n">
        <v>0.581836998462677</v>
      </c>
      <c r="D37" s="6" t="n">
        <v>1.68499994277954</v>
      </c>
      <c r="E37" s="14" t="n">
        <v>4.71428571428571</v>
      </c>
      <c r="F37" s="2" t="n">
        <v>1</v>
      </c>
      <c r="G37" s="2" t="n">
        <v>0</v>
      </c>
    </row>
    <row r="38" customFormat="false" ht="15" hidden="false" customHeight="false" outlineLevel="0" collapsed="false">
      <c r="A38" s="2" t="n">
        <v>52277</v>
      </c>
      <c r="B38" s="5" t="n">
        <v>0.629257912600934</v>
      </c>
      <c r="C38" s="11" t="n">
        <v>0.521997570991516</v>
      </c>
      <c r="D38" s="6" t="n">
        <v>2.1949999332428</v>
      </c>
      <c r="E38" s="14" t="n">
        <v>7.85714285714286</v>
      </c>
      <c r="F38" s="2" t="n">
        <v>1</v>
      </c>
      <c r="G38" s="2" t="n">
        <v>0</v>
      </c>
    </row>
    <row r="39" customFormat="false" ht="15" hidden="false" customHeight="false" outlineLevel="0" collapsed="false">
      <c r="A39" s="2" t="n">
        <v>52532</v>
      </c>
      <c r="B39" s="5" t="n">
        <v>0.625828495554046</v>
      </c>
      <c r="C39" s="11" t="n">
        <v>0.462901473045349</v>
      </c>
      <c r="D39" s="6" t="n">
        <v>1.04500007629395</v>
      </c>
      <c r="E39" s="14" t="n">
        <v>7.42857142857143</v>
      </c>
      <c r="F39" s="2" t="n">
        <v>0</v>
      </c>
      <c r="G39" s="2" t="n">
        <v>0</v>
      </c>
    </row>
    <row r="40" customFormat="false" ht="15" hidden="false" customHeight="false" outlineLevel="0" collapsed="false">
      <c r="A40" s="2" t="n">
        <v>42999</v>
      </c>
      <c r="B40" s="5" t="n">
        <v>0.62510558584688</v>
      </c>
      <c r="C40" s="11" t="n">
        <v>0.5891472697258</v>
      </c>
      <c r="D40" s="6" t="n">
        <v>0.949999988079071</v>
      </c>
      <c r="E40" s="14" t="n">
        <v>22.5714285714286</v>
      </c>
      <c r="F40" s="2" t="n">
        <v>0</v>
      </c>
      <c r="G40" s="2" t="n">
        <v>0</v>
      </c>
    </row>
    <row r="41" customFormat="false" ht="15" hidden="false" customHeight="false" outlineLevel="0" collapsed="false">
      <c r="A41" s="2" t="n">
        <v>52590</v>
      </c>
      <c r="B41" s="5" t="n">
        <v>0.625098220248432</v>
      </c>
      <c r="C41" s="11" t="n">
        <v>0.435448050498962</v>
      </c>
      <c r="D41" s="6" t="n">
        <v>2.20499992370606</v>
      </c>
      <c r="E41" s="14" t="n">
        <v>7.42857142857143</v>
      </c>
      <c r="F41" s="2" t="n">
        <v>1</v>
      </c>
      <c r="G41" s="2" t="n">
        <v>0</v>
      </c>
    </row>
    <row r="42" customFormat="false" ht="15" hidden="false" customHeight="false" outlineLevel="0" collapsed="false">
      <c r="A42" s="2" t="n">
        <v>53260</v>
      </c>
      <c r="B42" s="5" t="n">
        <v>0.62506738671658</v>
      </c>
      <c r="C42" s="11" t="n">
        <v>0.382616460323334</v>
      </c>
      <c r="D42" s="6" t="n">
        <v>0.914999961853027</v>
      </c>
      <c r="E42" s="14" t="n">
        <v>6.42857142857143</v>
      </c>
      <c r="F42" s="2" t="n">
        <v>1</v>
      </c>
      <c r="G42" s="2" t="n">
        <v>0</v>
      </c>
    </row>
    <row r="43" customFormat="false" ht="15" hidden="false" customHeight="false" outlineLevel="0" collapsed="false">
      <c r="A43" s="2" t="n">
        <v>44412</v>
      </c>
      <c r="B43" s="5" t="n">
        <v>0.621768279075616</v>
      </c>
      <c r="C43" s="11" t="n">
        <v>0.362519234418869</v>
      </c>
      <c r="D43" s="6" t="n">
        <v>0.884999990463257</v>
      </c>
      <c r="E43" s="14" t="n">
        <v>20.1428571428571</v>
      </c>
      <c r="F43" s="2" t="n">
        <v>0</v>
      </c>
      <c r="G43" s="2" t="n">
        <v>1</v>
      </c>
    </row>
    <row r="44" customFormat="false" ht="15" hidden="false" customHeight="false" outlineLevel="0" collapsed="false">
      <c r="A44" s="2" t="n">
        <v>54861</v>
      </c>
      <c r="B44" s="5" t="n">
        <v>0.61907311844004</v>
      </c>
      <c r="C44" s="11" t="n">
        <v>0.396859019994736</v>
      </c>
      <c r="D44" s="6" t="n">
        <v>1.86999988555908</v>
      </c>
      <c r="E44" s="14" t="n">
        <v>4.14285714285714</v>
      </c>
      <c r="F44" s="2" t="n">
        <v>1</v>
      </c>
      <c r="G44" s="2" t="n">
        <v>0</v>
      </c>
    </row>
    <row r="45" customFormat="false" ht="15" hidden="false" customHeight="false" outlineLevel="0" collapsed="false">
      <c r="A45" s="2" t="n">
        <v>32674</v>
      </c>
      <c r="B45" s="5" t="n">
        <v>0.618231046598948</v>
      </c>
      <c r="C45" s="11" t="n">
        <v>0.39215686917305</v>
      </c>
      <c r="D45" s="6" t="n">
        <v>0.725000023841858</v>
      </c>
      <c r="E45" s="14" t="n">
        <v>40</v>
      </c>
      <c r="F45" s="2" t="n">
        <v>1</v>
      </c>
      <c r="G45" s="2" t="n">
        <v>0</v>
      </c>
    </row>
    <row r="46" customFormat="false" ht="15" hidden="false" customHeight="false" outlineLevel="0" collapsed="false">
      <c r="A46" s="2" t="n">
        <v>52594</v>
      </c>
      <c r="B46" s="5" t="n">
        <v>0.617498094308972</v>
      </c>
      <c r="C46" s="11" t="n">
        <v>0.367035776376724</v>
      </c>
      <c r="D46" s="6" t="n">
        <v>3.19000005722046</v>
      </c>
      <c r="E46" s="14" t="n">
        <v>7.42857142857143</v>
      </c>
      <c r="F46" s="2" t="n">
        <v>1</v>
      </c>
      <c r="G46" s="2" t="n">
        <v>0</v>
      </c>
    </row>
    <row r="47" customFormat="false" ht="15" hidden="false" customHeight="false" outlineLevel="0" collapsed="false">
      <c r="A47" s="2" t="n">
        <v>53887</v>
      </c>
      <c r="B47" s="5" t="n">
        <v>0.616191196398524</v>
      </c>
      <c r="C47" s="11" t="n">
        <v>0.739658176898956</v>
      </c>
      <c r="D47" s="6" t="n">
        <v>2.2350001335144</v>
      </c>
      <c r="E47" s="14" t="n">
        <v>5.57142857142857</v>
      </c>
      <c r="F47" s="2" t="n">
        <v>0</v>
      </c>
      <c r="G47" s="2" t="n">
        <v>1</v>
      </c>
    </row>
    <row r="48" customFormat="false" ht="15" hidden="false" customHeight="false" outlineLevel="0" collapsed="false">
      <c r="A48" s="2" t="n">
        <v>54713</v>
      </c>
      <c r="B48" s="5" t="n">
        <v>0.615682172447723</v>
      </c>
      <c r="C48" s="11" t="n">
        <v>0.345769971609116</v>
      </c>
      <c r="D48" s="6" t="n">
        <v>1.45500004291534</v>
      </c>
      <c r="E48" s="14" t="n">
        <v>4.28571428571429</v>
      </c>
      <c r="F48" s="2" t="n">
        <v>0</v>
      </c>
      <c r="G48" s="2" t="n">
        <v>0</v>
      </c>
    </row>
    <row r="49" customFormat="false" ht="15" hidden="false" customHeight="false" outlineLevel="0" collapsed="false">
      <c r="A49" s="2" t="n">
        <v>40205</v>
      </c>
      <c r="B49" s="5" t="n">
        <v>0.615540199056384</v>
      </c>
      <c r="C49" s="11" t="n">
        <v>0.41461592912674</v>
      </c>
      <c r="D49" s="6" t="n">
        <v>0.694999992847443</v>
      </c>
      <c r="E49" s="14" t="n">
        <v>27.5714285714286</v>
      </c>
      <c r="F49" s="2" t="n">
        <v>0</v>
      </c>
      <c r="G49" s="2" t="n">
        <v>0</v>
      </c>
    </row>
    <row r="50" customFormat="false" ht="15" hidden="false" customHeight="false" outlineLevel="0" collapsed="false">
      <c r="A50" s="2" t="n">
        <v>43399</v>
      </c>
      <c r="B50" s="5" t="n">
        <v>0.612964172913444</v>
      </c>
      <c r="C50" s="11" t="n">
        <v>0.339089512825012</v>
      </c>
      <c r="D50" s="6" t="n">
        <v>0.810000002384186</v>
      </c>
      <c r="E50" s="14" t="n">
        <v>21.8571428571429</v>
      </c>
      <c r="F50" s="2" t="n">
        <v>0</v>
      </c>
      <c r="G50" s="2" t="n">
        <v>0</v>
      </c>
    </row>
    <row r="51" customFormat="false" ht="15" hidden="false" customHeight="false" outlineLevel="0" collapsed="false">
      <c r="A51" s="2" t="n">
        <v>54272</v>
      </c>
      <c r="B51" s="5" t="n">
        <v>0.611225299157799</v>
      </c>
      <c r="C51" s="11" t="n">
        <v>0.44411763548851</v>
      </c>
      <c r="D51" s="6" t="n">
        <v>2.2649998664856</v>
      </c>
      <c r="E51" s="14" t="n">
        <v>5</v>
      </c>
      <c r="F51" s="2" t="n">
        <v>1</v>
      </c>
      <c r="G51" s="2" t="n">
        <v>0</v>
      </c>
    </row>
    <row r="52" customFormat="false" ht="15" hidden="false" customHeight="false" outlineLevel="0" collapsed="false">
      <c r="A52" s="2" t="n">
        <v>54372</v>
      </c>
      <c r="B52" s="5" t="n">
        <v>0.609382048935067</v>
      </c>
      <c r="C52" s="11" t="n">
        <v>0.325670510530472</v>
      </c>
      <c r="D52" s="6" t="n">
        <v>1.19000005722046</v>
      </c>
      <c r="E52" s="14" t="n">
        <v>4.85714285714286</v>
      </c>
      <c r="F52" s="2" t="n">
        <v>0</v>
      </c>
      <c r="G52" s="2" t="n">
        <v>0</v>
      </c>
    </row>
    <row r="53" customFormat="false" ht="15" hidden="false" customHeight="false" outlineLevel="0" collapsed="false">
      <c r="A53" s="2" t="n">
        <v>53144</v>
      </c>
      <c r="B53" s="5" t="n">
        <v>0.604576135391621</v>
      </c>
      <c r="C53" s="11" t="n">
        <v>0.357479602098465</v>
      </c>
      <c r="D53" s="6" t="n">
        <v>1.625</v>
      </c>
      <c r="E53" s="14" t="n">
        <v>6.57142857142857</v>
      </c>
      <c r="F53" s="2" t="n">
        <v>1</v>
      </c>
      <c r="G53" s="2" t="n">
        <v>0</v>
      </c>
    </row>
    <row r="54" customFormat="false" ht="15" hidden="false" customHeight="false" outlineLevel="0" collapsed="false">
      <c r="A54" s="2" t="n">
        <v>47396</v>
      </c>
      <c r="B54" s="5" t="n">
        <v>0.604464734039524</v>
      </c>
      <c r="C54" s="11" t="n">
        <v>0.410551607608795</v>
      </c>
      <c r="D54" s="6" t="n">
        <v>1.07000005245209</v>
      </c>
      <c r="E54" s="14" t="n">
        <v>15.2857142857143</v>
      </c>
      <c r="F54" s="2" t="n">
        <v>1</v>
      </c>
      <c r="G54" s="2" t="n">
        <v>0</v>
      </c>
    </row>
    <row r="55" customFormat="false" ht="15" hidden="false" customHeight="false" outlineLevel="0" collapsed="false">
      <c r="A55" s="2" t="n">
        <v>46989</v>
      </c>
      <c r="B55" s="5" t="n">
        <v>0.601645457794271</v>
      </c>
      <c r="C55" s="11" t="n">
        <v>0.56160831451416</v>
      </c>
      <c r="D55" s="6" t="n">
        <v>2.16499996185303</v>
      </c>
      <c r="E55" s="14" t="n">
        <v>15.8571428571429</v>
      </c>
      <c r="F55" s="2" t="n">
        <v>1</v>
      </c>
      <c r="G55" s="2" t="n">
        <v>0</v>
      </c>
    </row>
    <row r="56" customFormat="false" ht="15" hidden="false" customHeight="false" outlineLevel="0" collapsed="false">
      <c r="A56" s="2" t="n">
        <v>54819</v>
      </c>
      <c r="B56" s="5" t="n">
        <v>0.601584580719729</v>
      </c>
      <c r="C56" s="11" t="n">
        <v>0.379768401384354</v>
      </c>
      <c r="D56" s="6" t="n">
        <v>1.11500000953674</v>
      </c>
      <c r="E56" s="14" t="n">
        <v>4.14285714285714</v>
      </c>
      <c r="F56" s="2" t="n">
        <v>0</v>
      </c>
      <c r="G56" s="2" t="n">
        <v>1</v>
      </c>
    </row>
    <row r="57" customFormat="false" ht="15" hidden="false" customHeight="false" outlineLevel="0" collapsed="false">
      <c r="A57" s="2" t="n">
        <v>44707</v>
      </c>
      <c r="B57" s="5" t="n">
        <v>0.601420033481815</v>
      </c>
      <c r="C57" s="11" t="n">
        <v>0.545922696590424</v>
      </c>
      <c r="D57" s="6" t="n">
        <v>0.794999957084656</v>
      </c>
      <c r="E57" s="14" t="n">
        <v>19.7142857142857</v>
      </c>
      <c r="F57" s="2" t="n">
        <v>1</v>
      </c>
      <c r="G57" s="2" t="n">
        <v>0</v>
      </c>
    </row>
    <row r="58" customFormat="false" ht="15" hidden="false" customHeight="false" outlineLevel="0" collapsed="false">
      <c r="A58" s="2" t="n">
        <v>53421</v>
      </c>
      <c r="B58" s="5" t="n">
        <v>0.600418442397723</v>
      </c>
      <c r="C58" s="11" t="n">
        <v>0.547522187232971</v>
      </c>
      <c r="D58" s="6" t="n">
        <v>2.11500000953674</v>
      </c>
      <c r="E58" s="14" t="n">
        <v>6.14285714285714</v>
      </c>
      <c r="F58" s="2" t="n">
        <v>0</v>
      </c>
      <c r="G58" s="2" t="n">
        <v>0</v>
      </c>
    </row>
    <row r="59" customFormat="false" ht="15" hidden="false" customHeight="false" outlineLevel="0" collapsed="false">
      <c r="A59" s="2" t="n">
        <v>53770</v>
      </c>
      <c r="B59" s="5" t="n">
        <v>0.600121730119404</v>
      </c>
      <c r="C59" s="11" t="n">
        <v>0.513772547245026</v>
      </c>
      <c r="D59" s="6" t="n">
        <v>1.4300000667572</v>
      </c>
      <c r="E59" s="14" t="n">
        <v>5.71428571428571</v>
      </c>
      <c r="F59" s="2" t="n">
        <v>0</v>
      </c>
      <c r="G59" s="2" t="n">
        <v>1</v>
      </c>
    </row>
    <row r="60" customFormat="false" ht="15" hidden="false" customHeight="false" outlineLevel="0" collapsed="false">
      <c r="A60" s="2" t="n">
        <v>54076</v>
      </c>
      <c r="B60" s="5" t="n">
        <v>0.59956687059068</v>
      </c>
      <c r="C60" s="11" t="n">
        <v>0.467848092317581</v>
      </c>
      <c r="D60" s="6" t="n">
        <v>3.07999992370606</v>
      </c>
      <c r="E60" s="14" t="n">
        <v>5.28571428571429</v>
      </c>
      <c r="F60" s="2" t="n">
        <v>1</v>
      </c>
      <c r="G60" s="2" t="n">
        <v>0</v>
      </c>
    </row>
    <row r="61" customFormat="false" ht="15" hidden="false" customHeight="false" outlineLevel="0" collapsed="false">
      <c r="A61" s="2" t="n">
        <v>53251</v>
      </c>
      <c r="B61" s="5" t="n">
        <v>0.597199874294188</v>
      </c>
      <c r="C61" s="11" t="n">
        <v>0.520113885402679</v>
      </c>
      <c r="D61" s="6" t="n">
        <v>4.04500007629395</v>
      </c>
      <c r="E61" s="14" t="n">
        <v>6.42857142857143</v>
      </c>
      <c r="F61" s="2" t="n">
        <v>1</v>
      </c>
      <c r="G61" s="2" t="n">
        <v>0</v>
      </c>
    </row>
    <row r="62" customFormat="false" ht="15" hidden="false" customHeight="false" outlineLevel="0" collapsed="false">
      <c r="A62" s="2" t="n">
        <v>20152</v>
      </c>
      <c r="B62" s="5" t="n">
        <v>0.593950549582621</v>
      </c>
      <c r="C62" s="11" t="n">
        <v>0.447628438472748</v>
      </c>
      <c r="D62" s="6" t="n">
        <v>2.2649998664856</v>
      </c>
      <c r="E62" s="14" t="n">
        <v>5.14285714285714</v>
      </c>
      <c r="F62" s="2" t="n">
        <v>0</v>
      </c>
      <c r="G62" s="2" t="n">
        <v>0</v>
      </c>
    </row>
    <row r="63" customFormat="false" ht="15" hidden="false" customHeight="false" outlineLevel="0" collapsed="false">
      <c r="A63" s="2" t="n">
        <v>23203</v>
      </c>
      <c r="B63" s="5" t="n">
        <v>0.593199067847728</v>
      </c>
      <c r="C63" s="11" t="n">
        <v>0.335115849971771</v>
      </c>
      <c r="D63" s="6" t="n">
        <v>0.469999998807907</v>
      </c>
      <c r="E63" s="14" t="n">
        <v>54.5714285714286</v>
      </c>
      <c r="F63" s="2" t="n">
        <v>0</v>
      </c>
      <c r="G63" s="2" t="n">
        <v>1</v>
      </c>
    </row>
    <row r="64" customFormat="false" ht="15" hidden="false" customHeight="false" outlineLevel="0" collapsed="false">
      <c r="A64" s="2" t="n">
        <v>54834</v>
      </c>
      <c r="B64" s="5" t="n">
        <v>0.592721909908249</v>
      </c>
      <c r="C64" s="11" t="n">
        <v>0.704874873161316</v>
      </c>
      <c r="D64" s="6" t="n">
        <v>1.07000005245209</v>
      </c>
      <c r="E64" s="14" t="n">
        <v>4.14285714285714</v>
      </c>
      <c r="F64" s="2" t="n">
        <v>1</v>
      </c>
      <c r="G64" s="2" t="n">
        <v>0</v>
      </c>
    </row>
    <row r="65" customFormat="false" ht="15" hidden="false" customHeight="false" outlineLevel="0" collapsed="false">
      <c r="A65" s="2" t="n">
        <v>43382</v>
      </c>
      <c r="B65" s="5" t="n">
        <v>0.590391343253138</v>
      </c>
      <c r="C65" s="11" t="n">
        <v>0.513326764106751</v>
      </c>
      <c r="D65" s="6" t="n">
        <v>1.29999995231628</v>
      </c>
      <c r="E65" s="14" t="n">
        <v>21.8571428571429</v>
      </c>
      <c r="F65" s="2" t="n">
        <v>0</v>
      </c>
      <c r="G65" s="2" t="n">
        <v>0</v>
      </c>
    </row>
    <row r="66" customFormat="false" ht="15" hidden="false" customHeight="false" outlineLevel="0" collapsed="false">
      <c r="A66" s="2" t="n">
        <v>22114</v>
      </c>
      <c r="B66" s="5" t="n">
        <v>0.588518069898294</v>
      </c>
      <c r="C66" s="11" t="n">
        <v>0.464625179767609</v>
      </c>
      <c r="D66" s="6" t="n">
        <v>1.10000002384186</v>
      </c>
      <c r="E66" s="14" t="n">
        <v>27.5714285714286</v>
      </c>
      <c r="F66" s="2" t="n">
        <v>1</v>
      </c>
      <c r="G66" s="2" t="n">
        <v>0</v>
      </c>
    </row>
    <row r="67" customFormat="false" ht="15" hidden="false" customHeight="false" outlineLevel="0" collapsed="false">
      <c r="A67" s="2" t="n">
        <v>49617</v>
      </c>
      <c r="B67" s="5" t="n">
        <v>0.587870303700975</v>
      </c>
      <c r="C67" s="11" t="n">
        <v>0.387275248765945</v>
      </c>
      <c r="D67" s="6" t="n">
        <v>0.699999988079071</v>
      </c>
      <c r="E67" s="14" t="n">
        <v>11.8571428571429</v>
      </c>
      <c r="F67" s="2" t="n">
        <v>0</v>
      </c>
      <c r="G67" s="2" t="n">
        <v>0</v>
      </c>
    </row>
    <row r="68" customFormat="false" ht="15" hidden="false" customHeight="false" outlineLevel="0" collapsed="false">
      <c r="A68" s="2" t="n">
        <v>47464</v>
      </c>
      <c r="B68" s="5" t="n">
        <v>0.585952575333357</v>
      </c>
      <c r="C68" s="11" t="n">
        <v>0.493851482868195</v>
      </c>
      <c r="D68" s="6" t="n">
        <v>1.25499999523163</v>
      </c>
      <c r="E68" s="14" t="n">
        <v>15.1428571428571</v>
      </c>
      <c r="F68" s="2" t="n">
        <v>1</v>
      </c>
      <c r="G68" s="2" t="n">
        <v>0</v>
      </c>
    </row>
    <row r="69" customFormat="false" ht="15" hidden="false" customHeight="false" outlineLevel="0" collapsed="false">
      <c r="A69" s="2" t="n">
        <v>42109</v>
      </c>
      <c r="B69" s="5" t="n">
        <v>0.585400788988046</v>
      </c>
      <c r="C69" s="11" t="n">
        <v>0.568720400333405</v>
      </c>
      <c r="D69" s="6" t="n">
        <v>1.5</v>
      </c>
      <c r="E69" s="14" t="n">
        <v>24.1428571428571</v>
      </c>
      <c r="F69" s="2" t="n">
        <v>1</v>
      </c>
      <c r="G69" s="2" t="n">
        <v>0</v>
      </c>
    </row>
    <row r="70" customFormat="false" ht="15" hidden="false" customHeight="false" outlineLevel="0" collapsed="false">
      <c r="A70" s="2" t="n">
        <v>53057</v>
      </c>
      <c r="B70" s="5" t="n">
        <v>0.583956857354731</v>
      </c>
      <c r="C70" s="11" t="n">
        <v>0.562183797359467</v>
      </c>
      <c r="D70" s="6" t="n">
        <v>1.90499997138977</v>
      </c>
      <c r="E70" s="14" t="n">
        <v>6.71428571428571</v>
      </c>
      <c r="F70" s="2" t="n">
        <v>1</v>
      </c>
      <c r="G70" s="2" t="n">
        <v>0</v>
      </c>
    </row>
    <row r="71" customFormat="false" ht="15" hidden="false" customHeight="false" outlineLevel="0" collapsed="false">
      <c r="A71" s="2" t="n">
        <v>53189</v>
      </c>
      <c r="B71" s="5" t="n">
        <v>0.58131408392367</v>
      </c>
      <c r="C71" s="11" t="n">
        <v>0.325149297714233</v>
      </c>
      <c r="D71" s="6" t="n">
        <v>1.39999997615814</v>
      </c>
      <c r="E71" s="14" t="n">
        <v>6.57142857142857</v>
      </c>
      <c r="F71" s="2" t="n">
        <v>1</v>
      </c>
      <c r="G71" s="2" t="n">
        <v>0</v>
      </c>
    </row>
    <row r="72" customFormat="false" ht="15" hidden="false" customHeight="false" outlineLevel="0" collapsed="false">
      <c r="A72" s="2" t="n">
        <v>54208</v>
      </c>
      <c r="B72" s="5" t="n">
        <v>0.581141084925221</v>
      </c>
      <c r="C72" s="11" t="n">
        <v>0.547112464904785</v>
      </c>
      <c r="D72" s="6" t="n">
        <v>0.600000023841858</v>
      </c>
      <c r="E72" s="14" t="n">
        <v>5.14285714285714</v>
      </c>
      <c r="F72" s="2" t="n">
        <v>1</v>
      </c>
      <c r="G72" s="2" t="n">
        <v>0</v>
      </c>
    </row>
    <row r="73" customFormat="false" ht="15" hidden="false" customHeight="false" outlineLevel="0" collapsed="false">
      <c r="A73" s="2" t="n">
        <v>54863</v>
      </c>
      <c r="B73" s="5" t="n">
        <v>0.580353333583637</v>
      </c>
      <c r="C73" s="11" t="n">
        <v>0.622549057006836</v>
      </c>
      <c r="D73" s="6" t="n">
        <v>1.90499997138977</v>
      </c>
      <c r="E73" s="14" t="n">
        <v>4.14285714285714</v>
      </c>
      <c r="F73" s="2" t="n">
        <v>1</v>
      </c>
      <c r="G73" s="2" t="n">
        <v>0</v>
      </c>
    </row>
    <row r="74" customFormat="false" ht="15" hidden="false" customHeight="false" outlineLevel="0" collapsed="false">
      <c r="A74" s="2" t="n">
        <v>54185</v>
      </c>
      <c r="B74" s="5" t="n">
        <v>0.57837568459057</v>
      </c>
      <c r="C74" s="11" t="n">
        <v>0.433884292840958</v>
      </c>
      <c r="D74" s="6" t="n">
        <v>2.09999990463257</v>
      </c>
      <c r="E74" s="14" t="n">
        <v>5.14285714285714</v>
      </c>
      <c r="F74" s="2" t="n">
        <v>1</v>
      </c>
      <c r="G74" s="2" t="n">
        <v>0</v>
      </c>
    </row>
    <row r="75" customFormat="false" ht="15" hidden="false" customHeight="false" outlineLevel="0" collapsed="false">
      <c r="A75" s="2" t="n">
        <v>38921</v>
      </c>
      <c r="B75" s="5" t="n">
        <v>0.576878096957026</v>
      </c>
      <c r="C75" s="11" t="n">
        <v>0.415322571992874</v>
      </c>
      <c r="D75" s="6" t="n">
        <v>1.02999997138977</v>
      </c>
      <c r="E75" s="14" t="n">
        <v>29.5714285714286</v>
      </c>
      <c r="F75" s="2" t="n">
        <v>1</v>
      </c>
      <c r="G75" s="2" t="n">
        <v>0</v>
      </c>
    </row>
    <row r="76" customFormat="false" ht="15" hidden="false" customHeight="false" outlineLevel="0" collapsed="false">
      <c r="A76" s="2" t="n">
        <v>54497</v>
      </c>
      <c r="B76" s="5" t="n">
        <v>0.57649374744967</v>
      </c>
      <c r="C76" s="11" t="n">
        <v>0.319722652435303</v>
      </c>
      <c r="D76" s="6" t="n">
        <v>1.24500000476837</v>
      </c>
      <c r="E76" s="14" t="n">
        <v>4.71428571428571</v>
      </c>
      <c r="F76" s="2" t="n">
        <v>0</v>
      </c>
      <c r="G76" s="2" t="n">
        <v>1</v>
      </c>
    </row>
    <row r="77" customFormat="false" ht="15" hidden="false" customHeight="false" outlineLevel="0" collapsed="false">
      <c r="A77" s="2" t="n">
        <v>51105</v>
      </c>
      <c r="B77" s="5" t="n">
        <v>0.573474727252328</v>
      </c>
      <c r="C77" s="11" t="n">
        <v>0.373098462820053</v>
      </c>
      <c r="D77" s="6" t="n">
        <v>1.16499996185303</v>
      </c>
      <c r="E77" s="14" t="n">
        <v>9.57142857142857</v>
      </c>
      <c r="F77" s="2" t="n">
        <v>1</v>
      </c>
      <c r="G77" s="2" t="n">
        <v>0</v>
      </c>
    </row>
    <row r="78" customFormat="false" ht="15" hidden="false" customHeight="false" outlineLevel="0" collapsed="false">
      <c r="A78" s="2" t="n">
        <v>54673</v>
      </c>
      <c r="B78" s="5" t="n">
        <v>0.570734639272578</v>
      </c>
      <c r="C78" s="11" t="n">
        <v>0.435911476612091</v>
      </c>
      <c r="D78" s="6" t="n">
        <v>3.19000005722046</v>
      </c>
      <c r="E78" s="14" t="n">
        <v>4.42857142857143</v>
      </c>
      <c r="F78" s="2" t="n">
        <v>0</v>
      </c>
      <c r="G78" s="2" t="n">
        <v>0</v>
      </c>
    </row>
    <row r="79" customFormat="false" ht="15" hidden="false" customHeight="false" outlineLevel="0" collapsed="false">
      <c r="A79" s="2" t="n">
        <v>46550</v>
      </c>
      <c r="B79" s="5" t="n">
        <v>0.570027117768519</v>
      </c>
      <c r="C79" s="11" t="n">
        <v>0.355251163244247</v>
      </c>
      <c r="D79" s="6" t="n">
        <v>1.94500005245209</v>
      </c>
      <c r="E79" s="14" t="n">
        <v>16.7142857142857</v>
      </c>
      <c r="F79" s="2" t="n">
        <v>1</v>
      </c>
      <c r="G79" s="2" t="n">
        <v>0</v>
      </c>
    </row>
    <row r="80" customFormat="false" ht="15" hidden="false" customHeight="false" outlineLevel="0" collapsed="false">
      <c r="A80" s="2" t="n">
        <v>48691</v>
      </c>
      <c r="B80" s="5" t="n">
        <v>0.569909475940588</v>
      </c>
      <c r="C80" s="11" t="n">
        <v>0.399592250585556</v>
      </c>
      <c r="D80" s="6" t="n">
        <v>1.47000002861023</v>
      </c>
      <c r="E80" s="14" t="n">
        <v>13.2857142857143</v>
      </c>
      <c r="F80" s="2" t="n">
        <v>0</v>
      </c>
      <c r="G80" s="2" t="n">
        <v>1</v>
      </c>
    </row>
    <row r="81" customFormat="false" ht="15" hidden="false" customHeight="false" outlineLevel="0" collapsed="false">
      <c r="A81" s="2" t="n">
        <v>47889</v>
      </c>
      <c r="B81" s="5" t="n">
        <v>0.569813881856445</v>
      </c>
      <c r="C81" s="11" t="n">
        <v>0.343636870384216</v>
      </c>
      <c r="D81" s="6" t="n">
        <v>3.08500003814697</v>
      </c>
      <c r="E81" s="14" t="n">
        <v>14.4285714285714</v>
      </c>
      <c r="F81" s="2" t="n">
        <v>0</v>
      </c>
      <c r="G81" s="2" t="n">
        <v>0</v>
      </c>
    </row>
    <row r="82" customFormat="false" ht="15" hidden="false" customHeight="false" outlineLevel="0" collapsed="false">
      <c r="A82" s="2" t="n">
        <v>49713</v>
      </c>
      <c r="B82" s="5" t="n">
        <v>0.569498760046591</v>
      </c>
      <c r="C82" s="11" t="n">
        <v>0.394402027130127</v>
      </c>
      <c r="D82" s="6" t="n">
        <v>0.774999976158142</v>
      </c>
      <c r="E82" s="14" t="n">
        <v>11.7142857142857</v>
      </c>
      <c r="F82" s="2" t="n">
        <v>1</v>
      </c>
      <c r="G82" s="2" t="n">
        <v>0</v>
      </c>
    </row>
    <row r="83" customFormat="false" ht="15" hidden="false" customHeight="false" outlineLevel="0" collapsed="false">
      <c r="A83" s="2" t="n">
        <v>37692</v>
      </c>
      <c r="B83" s="5" t="n">
        <v>0.568699629686535</v>
      </c>
      <c r="C83" s="11" t="n">
        <v>0.433460056781769</v>
      </c>
      <c r="D83" s="6" t="n">
        <v>1.13999998569489</v>
      </c>
      <c r="E83" s="14" t="n">
        <v>31.7142857142857</v>
      </c>
      <c r="F83" s="2" t="n">
        <v>1</v>
      </c>
      <c r="G83" s="2" t="n">
        <v>0</v>
      </c>
    </row>
    <row r="84" customFormat="false" ht="15" hidden="false" customHeight="false" outlineLevel="0" collapsed="false">
      <c r="A84" s="2" t="n">
        <v>54522</v>
      </c>
      <c r="B84" s="5" t="n">
        <v>0.567169783129585</v>
      </c>
      <c r="C84" s="11" t="n">
        <v>0.5916668176651</v>
      </c>
      <c r="D84" s="6" t="n">
        <v>1.42000007629395</v>
      </c>
      <c r="E84" s="14" t="n">
        <v>4.57142857142857</v>
      </c>
      <c r="F84" s="2" t="n">
        <v>1</v>
      </c>
      <c r="G84" s="2" t="n">
        <v>0</v>
      </c>
    </row>
    <row r="85" customFormat="false" ht="15" hidden="false" customHeight="false" outlineLevel="0" collapsed="false">
      <c r="A85" s="2" t="n">
        <v>38186</v>
      </c>
      <c r="B85" s="5" t="n">
        <v>0.567145457329854</v>
      </c>
      <c r="C85" s="11" t="n">
        <v>0.466231822967529</v>
      </c>
      <c r="D85" s="6" t="n">
        <v>2.76999998092651</v>
      </c>
      <c r="E85" s="14" t="n">
        <v>10.8571428571429</v>
      </c>
      <c r="F85" s="2" t="n">
        <v>1</v>
      </c>
      <c r="G85" s="2" t="n">
        <v>0</v>
      </c>
    </row>
    <row r="86" customFormat="false" ht="15" hidden="false" customHeight="false" outlineLevel="0" collapsed="false">
      <c r="A86" s="2" t="n">
        <v>27902</v>
      </c>
      <c r="B86" s="5" t="n">
        <v>0.565890934131852</v>
      </c>
      <c r="C86" s="11" t="n">
        <v>0.471057891845703</v>
      </c>
      <c r="D86" s="6" t="n">
        <v>0.590000033378601</v>
      </c>
      <c r="E86" s="14" t="n">
        <v>33.8571428571429</v>
      </c>
      <c r="F86" s="2" t="n">
        <v>1</v>
      </c>
      <c r="G86" s="2" t="n">
        <v>0</v>
      </c>
    </row>
    <row r="87" customFormat="false" ht="15" hidden="false" customHeight="false" outlineLevel="0" collapsed="false">
      <c r="A87" s="2" t="n">
        <v>53299</v>
      </c>
      <c r="B87" s="5" t="n">
        <v>0.56518566784398</v>
      </c>
      <c r="C87" s="11" t="n">
        <v>0.355112493038178</v>
      </c>
      <c r="D87" s="6" t="n">
        <v>3.85500001907349</v>
      </c>
      <c r="E87" s="14" t="n">
        <v>6.28571428571429</v>
      </c>
      <c r="F87" s="2" t="n">
        <v>1</v>
      </c>
      <c r="G87" s="2" t="n">
        <v>0</v>
      </c>
    </row>
    <row r="88" customFormat="false" ht="15" hidden="false" customHeight="false" outlineLevel="0" collapsed="false">
      <c r="A88" s="2" t="n">
        <v>53008</v>
      </c>
      <c r="B88" s="5" t="n">
        <v>0.565077206685735</v>
      </c>
      <c r="C88" s="11" t="n">
        <v>0.38923767209053</v>
      </c>
      <c r="D88" s="6" t="n">
        <v>1.24000000953674</v>
      </c>
      <c r="E88" s="14" t="n">
        <v>6.71428571428571</v>
      </c>
      <c r="F88" s="2" t="n">
        <v>0</v>
      </c>
      <c r="G88" s="2" t="n">
        <v>0</v>
      </c>
    </row>
    <row r="89" customFormat="false" ht="15" hidden="false" customHeight="false" outlineLevel="0" collapsed="false">
      <c r="A89" s="2" t="n">
        <v>33938</v>
      </c>
      <c r="B89" s="5" t="n">
        <v>0.564941226131136</v>
      </c>
      <c r="C89" s="11" t="n">
        <v>0.446428596973419</v>
      </c>
      <c r="D89" s="6" t="n">
        <v>1.375</v>
      </c>
      <c r="E89" s="14" t="n">
        <v>10.8571428571429</v>
      </c>
      <c r="F89" s="2" t="n">
        <v>0</v>
      </c>
      <c r="G89" s="2" t="n">
        <v>0</v>
      </c>
    </row>
    <row r="90" customFormat="false" ht="15" hidden="false" customHeight="false" outlineLevel="0" collapsed="false">
      <c r="A90" s="2" t="n">
        <v>54170</v>
      </c>
      <c r="B90" s="5" t="n">
        <v>0.564896582640354</v>
      </c>
      <c r="C90" s="11" t="n">
        <v>0.372797548770905</v>
      </c>
      <c r="D90" s="6" t="n">
        <v>2.00999999046326</v>
      </c>
      <c r="E90" s="14" t="n">
        <v>5.14285714285714</v>
      </c>
      <c r="F90" s="2" t="n">
        <v>0</v>
      </c>
      <c r="G90" s="2" t="n">
        <v>0</v>
      </c>
    </row>
    <row r="91" customFormat="false" ht="15" hidden="false" customHeight="false" outlineLevel="0" collapsed="false">
      <c r="A91" s="2" t="n">
        <v>40925</v>
      </c>
      <c r="B91" s="5" t="n">
        <v>0.56333710700303</v>
      </c>
      <c r="C91" s="11" t="n">
        <v>0.533092677593231</v>
      </c>
      <c r="D91" s="6" t="n">
        <v>2.21499991416931</v>
      </c>
      <c r="E91" s="14" t="n">
        <v>26.2857142857143</v>
      </c>
      <c r="F91" s="2" t="n">
        <v>0</v>
      </c>
      <c r="G91" s="2" t="n">
        <v>1</v>
      </c>
    </row>
    <row r="92" customFormat="false" ht="15" hidden="false" customHeight="false" outlineLevel="0" collapsed="false">
      <c r="A92" s="2" t="n">
        <v>53484</v>
      </c>
      <c r="B92" s="5" t="n">
        <v>0.560877091371268</v>
      </c>
      <c r="C92" s="11" t="n">
        <v>0.466139942407608</v>
      </c>
      <c r="D92" s="6" t="n">
        <v>0.884999990463257</v>
      </c>
      <c r="E92" s="14" t="n">
        <v>6.14285714285714</v>
      </c>
      <c r="F92" s="2" t="n">
        <v>0</v>
      </c>
      <c r="G92" s="2" t="n">
        <v>0</v>
      </c>
    </row>
    <row r="93" customFormat="false" ht="15" hidden="false" customHeight="false" outlineLevel="0" collapsed="false">
      <c r="A93" s="2" t="n">
        <v>47951</v>
      </c>
      <c r="B93" s="5" t="n">
        <v>0.560680687377788</v>
      </c>
      <c r="C93" s="11" t="n">
        <v>0.4445820748806</v>
      </c>
      <c r="D93" s="6" t="n">
        <v>1.79500007629395</v>
      </c>
      <c r="E93" s="14" t="n">
        <v>14.2857142857143</v>
      </c>
      <c r="F93" s="2" t="n">
        <v>0</v>
      </c>
      <c r="G93" s="2" t="n">
        <v>0</v>
      </c>
    </row>
    <row r="94" customFormat="false" ht="15" hidden="false" customHeight="false" outlineLevel="0" collapsed="false">
      <c r="A94" s="2" t="n">
        <v>51998</v>
      </c>
      <c r="B94" s="5" t="n">
        <v>0.557716277041186</v>
      </c>
      <c r="C94" s="11" t="n">
        <v>0.311299800872803</v>
      </c>
      <c r="D94" s="6" t="n">
        <v>1.92499995231628</v>
      </c>
      <c r="E94" s="14" t="n">
        <v>8.28571428571429</v>
      </c>
      <c r="F94" s="2" t="n">
        <v>1</v>
      </c>
      <c r="G94" s="2" t="n">
        <v>0</v>
      </c>
    </row>
    <row r="95" customFormat="false" ht="15" hidden="false" customHeight="false" outlineLevel="0" collapsed="false">
      <c r="A95" s="2" t="n">
        <v>27527</v>
      </c>
      <c r="B95" s="5" t="n">
        <v>0.55401033352129</v>
      </c>
      <c r="C95" s="11" t="n">
        <v>0.515004813671112</v>
      </c>
      <c r="D95" s="6" t="n">
        <v>0.664999961853027</v>
      </c>
      <c r="E95" s="14" t="n">
        <v>48.2857142857143</v>
      </c>
      <c r="F95" s="2" t="n">
        <v>1</v>
      </c>
      <c r="G95" s="2" t="n">
        <v>0</v>
      </c>
    </row>
    <row r="96" customFormat="false" ht="15" hidden="false" customHeight="false" outlineLevel="0" collapsed="false">
      <c r="A96" s="2" t="n">
        <v>54436</v>
      </c>
      <c r="B96" s="5" t="n">
        <v>0.552459807227977</v>
      </c>
      <c r="C96" s="11" t="n">
        <v>0.430663228034973</v>
      </c>
      <c r="D96" s="6" t="n">
        <v>4</v>
      </c>
      <c r="E96" s="14" t="n">
        <v>4.71428571428571</v>
      </c>
      <c r="F96" s="2" t="n">
        <v>0</v>
      </c>
      <c r="G96" s="2" t="n">
        <v>0</v>
      </c>
    </row>
    <row r="97" customFormat="false" ht="15" hidden="false" customHeight="false" outlineLevel="0" collapsed="false">
      <c r="A97" s="2" t="n">
        <v>53006</v>
      </c>
      <c r="B97" s="5" t="n">
        <v>0.551204096674455</v>
      </c>
      <c r="C97" s="11" t="n">
        <v>0.40549448132515</v>
      </c>
      <c r="D97" s="6" t="n">
        <v>1.84500002861023</v>
      </c>
      <c r="E97" s="14" t="n">
        <v>6.71428571428571</v>
      </c>
      <c r="F97" s="2" t="n">
        <v>0</v>
      </c>
      <c r="G97" s="2" t="n">
        <v>0</v>
      </c>
    </row>
    <row r="98" customFormat="false" ht="15" hidden="false" customHeight="false" outlineLevel="0" collapsed="false">
      <c r="A98" s="2" t="n">
        <v>34426</v>
      </c>
      <c r="B98" s="5" t="n">
        <v>0.55016006288888</v>
      </c>
      <c r="C98" s="11" t="n">
        <v>0.596125185489655</v>
      </c>
      <c r="D98" s="6" t="n">
        <v>1</v>
      </c>
      <c r="E98" s="14" t="n">
        <v>10.1428571428571</v>
      </c>
      <c r="F98" s="2" t="n">
        <v>0</v>
      </c>
      <c r="G98" s="2" t="n">
        <v>1</v>
      </c>
    </row>
    <row r="99" customFormat="false" ht="15" hidden="false" customHeight="false" outlineLevel="0" collapsed="false">
      <c r="A99" s="2" t="n">
        <v>48057</v>
      </c>
      <c r="B99" s="5" t="n">
        <v>0.549005712602581</v>
      </c>
      <c r="C99" s="11" t="n">
        <v>0.394366204738617</v>
      </c>
      <c r="D99" s="6" t="n">
        <v>1.12000000476837</v>
      </c>
      <c r="E99" s="14" t="n">
        <v>14.1428571428571</v>
      </c>
      <c r="F99" s="2" t="n">
        <v>0</v>
      </c>
      <c r="G99" s="2" t="n">
        <v>0</v>
      </c>
    </row>
    <row r="100" customFormat="false" ht="15" hidden="false" customHeight="false" outlineLevel="0" collapsed="false">
      <c r="A100" s="2" t="n">
        <v>54160</v>
      </c>
      <c r="B100" s="5" t="n">
        <v>0.547438622973415</v>
      </c>
      <c r="C100" s="11" t="n">
        <v>0.376178622245789</v>
      </c>
      <c r="D100" s="6" t="n">
        <v>3.78999996185303</v>
      </c>
      <c r="E100" s="14" t="n">
        <v>5.14285714285714</v>
      </c>
      <c r="F100" s="2" t="n">
        <v>0</v>
      </c>
      <c r="G100" s="2" t="n">
        <v>1</v>
      </c>
    </row>
    <row r="101" customFormat="false" ht="15" hidden="false" customHeight="false" outlineLevel="0" collapsed="false">
      <c r="A101" s="2" t="n">
        <v>53392</v>
      </c>
      <c r="B101" s="5" t="n">
        <v>0.547318348841024</v>
      </c>
      <c r="C101" s="11" t="n">
        <v>0.425322473049164</v>
      </c>
      <c r="D101" s="6" t="n">
        <v>1.78999996185303</v>
      </c>
      <c r="E101" s="14" t="n">
        <v>6.28571428571429</v>
      </c>
      <c r="F101" s="2" t="n">
        <v>1</v>
      </c>
      <c r="G101" s="2" t="n">
        <v>0</v>
      </c>
    </row>
    <row r="102" customFormat="false" ht="15" hidden="false" customHeight="false" outlineLevel="0" collapsed="false">
      <c r="A102" s="2" t="n">
        <v>45718</v>
      </c>
      <c r="B102" s="5" t="n">
        <v>0.546355042441807</v>
      </c>
      <c r="C102" s="11" t="n">
        <v>0.504006624221802</v>
      </c>
      <c r="D102" s="6" t="n">
        <v>2.27999997138977</v>
      </c>
      <c r="E102" s="14" t="n">
        <v>18.1428571428571</v>
      </c>
      <c r="F102" s="2" t="n">
        <v>0</v>
      </c>
      <c r="G102" s="2" t="n">
        <v>0</v>
      </c>
    </row>
    <row r="103" customFormat="false" ht="15" hidden="false" customHeight="false" outlineLevel="0" collapsed="false">
      <c r="A103" s="2" t="n">
        <v>53656</v>
      </c>
      <c r="B103" s="5" t="n">
        <v>0.545664558446496</v>
      </c>
      <c r="C103" s="11" t="n">
        <v>0.660126090049744</v>
      </c>
      <c r="D103" s="6" t="n">
        <v>1.5699999332428</v>
      </c>
      <c r="E103" s="14" t="n">
        <v>5.85714285714286</v>
      </c>
      <c r="F103" s="2" t="n">
        <v>0</v>
      </c>
      <c r="G103" s="2" t="n">
        <v>1</v>
      </c>
    </row>
    <row r="104" customFormat="false" ht="15" hidden="false" customHeight="false" outlineLevel="0" collapsed="false">
      <c r="A104" s="2" t="n">
        <v>53102</v>
      </c>
      <c r="B104" s="5" t="n">
        <v>0.543095170514404</v>
      </c>
      <c r="C104" s="11" t="n">
        <v>0.354291409254074</v>
      </c>
      <c r="D104" s="6" t="n">
        <v>1.77499997615814</v>
      </c>
      <c r="E104" s="14" t="n">
        <v>6.57142857142857</v>
      </c>
      <c r="F104" s="2" t="n">
        <v>0</v>
      </c>
      <c r="G104" s="2" t="n">
        <v>0</v>
      </c>
    </row>
    <row r="105" customFormat="false" ht="15" hidden="false" customHeight="false" outlineLevel="0" collapsed="false">
      <c r="A105" s="2" t="n">
        <v>47289</v>
      </c>
      <c r="B105" s="5" t="n">
        <v>0.542795376034049</v>
      </c>
      <c r="C105" s="11" t="n">
        <v>0.403361409902573</v>
      </c>
      <c r="D105" s="6" t="n">
        <v>1.08000004291534</v>
      </c>
      <c r="E105" s="14" t="n">
        <v>15.4285714285714</v>
      </c>
      <c r="F105" s="2" t="n">
        <v>0</v>
      </c>
      <c r="G105" s="2" t="n">
        <v>0</v>
      </c>
    </row>
    <row r="106" customFormat="false" ht="15" hidden="false" customHeight="false" outlineLevel="0" collapsed="false">
      <c r="A106" s="2" t="n">
        <v>52650</v>
      </c>
      <c r="B106" s="5" t="n">
        <v>0.540572173895247</v>
      </c>
      <c r="C106" s="11" t="n">
        <v>0.541140794754028</v>
      </c>
      <c r="D106" s="6" t="n">
        <v>2.67999982833862</v>
      </c>
      <c r="E106" s="14" t="n">
        <v>7.28571428571429</v>
      </c>
      <c r="F106" s="2" t="n">
        <v>1</v>
      </c>
      <c r="G106" s="2" t="n">
        <v>0</v>
      </c>
    </row>
    <row r="107" customFormat="false" ht="15" hidden="false" customHeight="false" outlineLevel="0" collapsed="false">
      <c r="A107" s="2" t="n">
        <v>43831</v>
      </c>
      <c r="B107" s="5" t="n">
        <v>0.540273886736895</v>
      </c>
      <c r="C107" s="11" t="n">
        <v>0.355495244264603</v>
      </c>
      <c r="D107" s="6" t="n">
        <v>1.30999994277954</v>
      </c>
      <c r="E107" s="14" t="n">
        <v>21.1428571428571</v>
      </c>
      <c r="F107" s="2" t="n">
        <v>1</v>
      </c>
      <c r="G107" s="2" t="n">
        <v>0</v>
      </c>
    </row>
    <row r="108" customFormat="false" ht="15" hidden="false" customHeight="false" outlineLevel="0" collapsed="false">
      <c r="A108" s="2" t="n">
        <v>40421</v>
      </c>
      <c r="B108" s="5" t="n">
        <v>0.539958035171844</v>
      </c>
      <c r="C108" s="11" t="n">
        <v>0.498460114002228</v>
      </c>
      <c r="D108" s="6" t="n">
        <v>2.63000011444092</v>
      </c>
      <c r="E108" s="14" t="n">
        <v>27.1428571428571</v>
      </c>
      <c r="F108" s="2" t="n">
        <v>1</v>
      </c>
      <c r="G108" s="2" t="n">
        <v>0</v>
      </c>
    </row>
    <row r="109" customFormat="false" ht="15" hidden="false" customHeight="false" outlineLevel="0" collapsed="false">
      <c r="A109" s="2" t="n">
        <v>21049</v>
      </c>
      <c r="B109" s="5" t="n">
        <v>0.539923706071271</v>
      </c>
      <c r="C109" s="11" t="n">
        <v>0.395383894443512</v>
      </c>
      <c r="D109" s="6" t="n">
        <v>0.985000014305115</v>
      </c>
      <c r="E109" s="14" t="n">
        <v>24.5714285714286</v>
      </c>
      <c r="F109" s="2" t="n">
        <v>1</v>
      </c>
      <c r="G109" s="2" t="n">
        <v>0</v>
      </c>
    </row>
    <row r="110" customFormat="false" ht="15" hidden="false" customHeight="false" outlineLevel="0" collapsed="false">
      <c r="A110" s="2" t="n">
        <v>54642</v>
      </c>
      <c r="B110" s="5" t="n">
        <v>0.539623380906558</v>
      </c>
      <c r="C110" s="11" t="n">
        <v>0.548514902591705</v>
      </c>
      <c r="D110" s="6" t="n">
        <v>2.76999998092651</v>
      </c>
      <c r="E110" s="14" t="n">
        <v>4.42857142857143</v>
      </c>
      <c r="F110" s="2" t="n">
        <v>1</v>
      </c>
      <c r="G110" s="2" t="n">
        <v>0</v>
      </c>
    </row>
    <row r="111" customFormat="false" ht="15" hidden="false" customHeight="false" outlineLevel="0" collapsed="false">
      <c r="A111" s="2" t="n">
        <v>42657</v>
      </c>
      <c r="B111" s="5" t="n">
        <v>0.539552731629121</v>
      </c>
      <c r="C111" s="11" t="n">
        <v>0.478304773569107</v>
      </c>
      <c r="D111" s="6" t="n">
        <v>1.18500006198883</v>
      </c>
      <c r="E111" s="14" t="n">
        <v>23.1428571428571</v>
      </c>
      <c r="F111" s="2" t="n">
        <v>0</v>
      </c>
      <c r="G111" s="2" t="n">
        <v>0</v>
      </c>
    </row>
    <row r="112" customFormat="false" ht="15" hidden="false" customHeight="false" outlineLevel="0" collapsed="false">
      <c r="A112" s="2" t="n">
        <v>32099</v>
      </c>
      <c r="B112" s="5" t="n">
        <v>0.538178662309093</v>
      </c>
      <c r="C112" s="11" t="n">
        <v>0.31728395819664</v>
      </c>
      <c r="D112" s="6" t="n">
        <v>1.28500008583069</v>
      </c>
      <c r="E112" s="14" t="n">
        <v>21.8571428571429</v>
      </c>
      <c r="F112" s="2" t="n">
        <v>1</v>
      </c>
      <c r="G112" s="2" t="n">
        <v>0</v>
      </c>
    </row>
    <row r="113" customFormat="false" ht="15" hidden="false" customHeight="false" outlineLevel="0" collapsed="false">
      <c r="A113" s="2" t="n">
        <v>50944</v>
      </c>
      <c r="B113" s="5" t="n">
        <v>0.535358880760044</v>
      </c>
      <c r="C113" s="11" t="n">
        <v>0.378178238868713</v>
      </c>
      <c r="D113" s="6" t="n">
        <v>1.91499996185303</v>
      </c>
      <c r="E113" s="14" t="n">
        <v>9.85714285714286</v>
      </c>
      <c r="F113" s="2" t="n">
        <v>0</v>
      </c>
      <c r="G113" s="2" t="n">
        <v>0</v>
      </c>
    </row>
    <row r="114" customFormat="false" ht="15" hidden="false" customHeight="false" outlineLevel="0" collapsed="false">
      <c r="A114" s="2" t="n">
        <v>45984</v>
      </c>
      <c r="B114" s="5" t="n">
        <v>0.534437231982709</v>
      </c>
      <c r="C114" s="11" t="n">
        <v>0.33699631690979</v>
      </c>
      <c r="D114" s="6" t="n">
        <v>1.0349999666214</v>
      </c>
      <c r="E114" s="14" t="n">
        <v>17.7142857142857</v>
      </c>
      <c r="F114" s="2" t="n">
        <v>1</v>
      </c>
      <c r="G114" s="2" t="n">
        <v>0</v>
      </c>
    </row>
    <row r="115" customFormat="false" ht="15" hidden="false" customHeight="false" outlineLevel="0" collapsed="false">
      <c r="A115" s="2" t="n">
        <v>35209</v>
      </c>
      <c r="B115" s="5" t="n">
        <v>0.533668335541054</v>
      </c>
      <c r="C115" s="11" t="n">
        <v>0.569422781467438</v>
      </c>
      <c r="D115" s="6" t="n">
        <v>3.65000009536743</v>
      </c>
      <c r="E115" s="14" t="n">
        <v>5.85714285714286</v>
      </c>
      <c r="F115" s="2" t="n">
        <v>1</v>
      </c>
      <c r="G115" s="2" t="n">
        <v>0</v>
      </c>
    </row>
    <row r="116" customFormat="false" ht="15" hidden="false" customHeight="false" outlineLevel="0" collapsed="false">
      <c r="A116" s="2" t="n">
        <v>53867</v>
      </c>
      <c r="B116" s="5" t="n">
        <v>0.531401510993172</v>
      </c>
      <c r="C116" s="11" t="n">
        <v>0.614084601402283</v>
      </c>
      <c r="D116" s="6" t="n">
        <v>1.0900000333786</v>
      </c>
      <c r="E116" s="14" t="n">
        <v>5.57142857142857</v>
      </c>
      <c r="F116" s="2" t="n">
        <v>0</v>
      </c>
      <c r="G116" s="2" t="n">
        <v>0</v>
      </c>
    </row>
    <row r="117" customFormat="false" ht="15" hidden="false" customHeight="false" outlineLevel="0" collapsed="false">
      <c r="A117" s="2" t="n">
        <v>44832</v>
      </c>
      <c r="B117" s="5" t="n">
        <v>0.530215726728391</v>
      </c>
      <c r="C117" s="11" t="n">
        <v>0.452953159809113</v>
      </c>
      <c r="D117" s="6" t="n">
        <v>2.77999997138977</v>
      </c>
      <c r="E117" s="14" t="n">
        <v>19.4285714285714</v>
      </c>
      <c r="F117" s="2" t="n">
        <v>0</v>
      </c>
      <c r="G117" s="2" t="n">
        <v>0</v>
      </c>
    </row>
    <row r="118" customFormat="false" ht="15" hidden="false" customHeight="false" outlineLevel="0" collapsed="false">
      <c r="A118" s="2" t="n">
        <v>52092</v>
      </c>
      <c r="B118" s="5" t="n">
        <v>0.529307001950645</v>
      </c>
      <c r="C118" s="11" t="n">
        <v>0.455958545207977</v>
      </c>
      <c r="D118" s="6" t="n">
        <v>0.879999995231628</v>
      </c>
      <c r="E118" s="14" t="n">
        <v>8.14285714285714</v>
      </c>
      <c r="F118" s="2" t="n">
        <v>1</v>
      </c>
      <c r="G118" s="2" t="n">
        <v>0</v>
      </c>
    </row>
    <row r="119" customFormat="false" ht="15" hidden="false" customHeight="false" outlineLevel="0" collapsed="false">
      <c r="A119" s="2" t="n">
        <v>51825</v>
      </c>
      <c r="B119" s="5" t="n">
        <v>0.529034771871904</v>
      </c>
      <c r="C119" s="11" t="n">
        <v>0.449071973562241</v>
      </c>
      <c r="D119" s="6" t="n">
        <v>1.24000000953674</v>
      </c>
      <c r="E119" s="14" t="n">
        <v>8.57142857142857</v>
      </c>
      <c r="F119" s="2" t="n">
        <v>1</v>
      </c>
      <c r="G119" s="2" t="n">
        <v>0</v>
      </c>
    </row>
    <row r="120" customFormat="false" ht="15" hidden="false" customHeight="false" outlineLevel="0" collapsed="false">
      <c r="A120" s="2" t="n">
        <v>54403</v>
      </c>
      <c r="B120" s="5" t="n">
        <v>0.528989854031581</v>
      </c>
      <c r="C120" s="11" t="n">
        <v>0.316135257482529</v>
      </c>
      <c r="D120" s="6" t="n">
        <v>2.93499994277954</v>
      </c>
      <c r="E120" s="14" t="n">
        <v>4.85714285714286</v>
      </c>
      <c r="F120" s="2" t="n">
        <v>1</v>
      </c>
      <c r="G120" s="2" t="n">
        <v>0</v>
      </c>
    </row>
    <row r="121" customFormat="false" ht="15" hidden="false" customHeight="false" outlineLevel="0" collapsed="false">
      <c r="A121" s="2" t="n">
        <v>51744</v>
      </c>
      <c r="B121" s="5" t="n">
        <v>0.528803317424987</v>
      </c>
      <c r="C121" s="11" t="n">
        <v>0.382730484008789</v>
      </c>
      <c r="D121" s="6" t="n">
        <v>1.23000001907349</v>
      </c>
      <c r="E121" s="14" t="n">
        <v>8.57142857142857</v>
      </c>
      <c r="F121" s="2" t="n">
        <v>0</v>
      </c>
      <c r="G121" s="2" t="n">
        <v>0</v>
      </c>
    </row>
    <row r="122" customFormat="false" ht="15" hidden="false" customHeight="false" outlineLevel="0" collapsed="false">
      <c r="A122" s="2" t="n">
        <v>51972</v>
      </c>
      <c r="B122" s="5" t="n">
        <v>0.525445228170588</v>
      </c>
      <c r="C122" s="11" t="n">
        <v>0.488176196813583</v>
      </c>
      <c r="D122" s="6" t="n">
        <v>2.24500012397766</v>
      </c>
      <c r="E122" s="14" t="n">
        <v>8.28571428571429</v>
      </c>
      <c r="F122" s="2" t="n">
        <v>0</v>
      </c>
      <c r="G122" s="2" t="n">
        <v>1</v>
      </c>
    </row>
    <row r="123" customFormat="false" ht="15" hidden="false" customHeight="false" outlineLevel="0" collapsed="false">
      <c r="A123" s="2" t="n">
        <v>34321</v>
      </c>
      <c r="B123" s="5" t="n">
        <v>0.52409540990212</v>
      </c>
      <c r="C123" s="11" t="n">
        <v>0.427627623081207</v>
      </c>
      <c r="D123" s="6" t="n">
        <v>0.889999985694885</v>
      </c>
      <c r="E123" s="14" t="n">
        <v>37.2857142857143</v>
      </c>
      <c r="F123" s="2" t="n">
        <v>0</v>
      </c>
      <c r="G123" s="2" t="n">
        <v>1</v>
      </c>
    </row>
    <row r="124" customFormat="false" ht="15" hidden="false" customHeight="false" outlineLevel="0" collapsed="false">
      <c r="A124" s="2" t="n">
        <v>47121</v>
      </c>
      <c r="B124" s="5" t="n">
        <v>0.523971560587816</v>
      </c>
      <c r="C124" s="11" t="n">
        <v>0.404077887535095</v>
      </c>
      <c r="D124" s="6" t="n">
        <v>1.0900000333786</v>
      </c>
      <c r="E124" s="14" t="n">
        <v>15.7142857142857</v>
      </c>
      <c r="F124" s="2" t="n">
        <v>0</v>
      </c>
      <c r="G124" s="2" t="n">
        <v>0</v>
      </c>
    </row>
    <row r="125" customFormat="false" ht="15" hidden="false" customHeight="false" outlineLevel="0" collapsed="false">
      <c r="A125" s="2" t="n">
        <v>49404</v>
      </c>
      <c r="B125" s="5" t="n">
        <v>0.522589682003941</v>
      </c>
      <c r="C125" s="11" t="n">
        <v>0.386390298604965</v>
      </c>
      <c r="D125" s="6" t="n">
        <v>1.23500001430512</v>
      </c>
      <c r="E125" s="14" t="n">
        <v>12.1428571428571</v>
      </c>
      <c r="F125" s="2" t="n">
        <v>0</v>
      </c>
      <c r="G125" s="2" t="n">
        <v>0</v>
      </c>
    </row>
    <row r="126" customFormat="false" ht="15" hidden="false" customHeight="false" outlineLevel="0" collapsed="false">
      <c r="A126" s="2" t="n">
        <v>45506</v>
      </c>
      <c r="B126" s="5" t="n">
        <v>0.521541745837331</v>
      </c>
      <c r="C126" s="11" t="n">
        <v>0.484348118305206</v>
      </c>
      <c r="D126" s="6" t="n">
        <v>1.75999999046326</v>
      </c>
      <c r="E126" s="14" t="n">
        <v>18.4285714285714</v>
      </c>
      <c r="F126" s="2" t="n">
        <v>1</v>
      </c>
      <c r="G126" s="2" t="n">
        <v>0</v>
      </c>
    </row>
    <row r="127" customFormat="false" ht="15" hidden="false" customHeight="false" outlineLevel="0" collapsed="false">
      <c r="A127" s="2" t="n">
        <v>47171</v>
      </c>
      <c r="B127" s="5" t="n">
        <v>0.521239923076778</v>
      </c>
      <c r="C127" s="11" t="n">
        <v>0.567524969577789</v>
      </c>
      <c r="D127" s="6" t="n">
        <v>2.70000004768372</v>
      </c>
      <c r="E127" s="14" t="n">
        <v>15.5714285714286</v>
      </c>
      <c r="F127" s="2" t="n">
        <v>1</v>
      </c>
      <c r="G127" s="2" t="n">
        <v>0</v>
      </c>
    </row>
    <row r="128" customFormat="false" ht="15" hidden="false" customHeight="false" outlineLevel="0" collapsed="false">
      <c r="A128" s="2" t="n">
        <v>51631</v>
      </c>
      <c r="B128" s="5" t="n">
        <v>0.518169352378988</v>
      </c>
      <c r="C128" s="11" t="n">
        <v>0.394766330718994</v>
      </c>
      <c r="D128" s="6" t="n">
        <v>1.3199999332428</v>
      </c>
      <c r="E128" s="14" t="n">
        <v>8.85714285714286</v>
      </c>
      <c r="F128" s="2" t="n">
        <v>0</v>
      </c>
      <c r="G128" s="2" t="n">
        <v>0</v>
      </c>
    </row>
    <row r="129" customFormat="false" ht="15" hidden="false" customHeight="false" outlineLevel="0" collapsed="false">
      <c r="A129" s="2" t="n">
        <v>47710</v>
      </c>
      <c r="B129" s="5" t="n">
        <v>0.517152234308204</v>
      </c>
      <c r="C129" s="11" t="n">
        <v>0.415512442588806</v>
      </c>
      <c r="D129" s="6" t="n">
        <v>0.75</v>
      </c>
      <c r="E129" s="14" t="n">
        <v>14.7142857142857</v>
      </c>
      <c r="F129" s="2" t="n">
        <v>1</v>
      </c>
      <c r="G129" s="2" t="n">
        <v>0</v>
      </c>
    </row>
    <row r="130" customFormat="false" ht="15" hidden="false" customHeight="false" outlineLevel="0" collapsed="false">
      <c r="A130" s="2" t="n">
        <v>54684</v>
      </c>
      <c r="B130" s="5" t="n">
        <v>0.51628934143769</v>
      </c>
      <c r="C130" s="11" t="n">
        <v>0.551905453205109</v>
      </c>
      <c r="D130" s="6" t="n">
        <v>1.67999994754791</v>
      </c>
      <c r="E130" s="14" t="n">
        <v>4.42857142857143</v>
      </c>
      <c r="F130" s="2" t="n">
        <v>0</v>
      </c>
      <c r="G130" s="2" t="n">
        <v>1</v>
      </c>
    </row>
    <row r="131" customFormat="false" ht="15" hidden="false" customHeight="false" outlineLevel="0" collapsed="false">
      <c r="A131" s="2" t="n">
        <v>33473</v>
      </c>
      <c r="B131" s="5" t="n">
        <v>0.515830732796435</v>
      </c>
      <c r="C131" s="11" t="n">
        <v>0.502744853496552</v>
      </c>
      <c r="D131" s="6" t="n">
        <v>2.17499995231628</v>
      </c>
      <c r="E131" s="14" t="n">
        <v>17.5714285714286</v>
      </c>
      <c r="F131" s="2" t="n">
        <v>0</v>
      </c>
      <c r="G131" s="2" t="n">
        <v>1</v>
      </c>
    </row>
    <row r="132" customFormat="false" ht="15" hidden="false" customHeight="false" outlineLevel="0" collapsed="false">
      <c r="A132" s="2" t="n">
        <v>45759</v>
      </c>
      <c r="B132" s="5" t="n">
        <v>0.515352816894429</v>
      </c>
      <c r="C132" s="11" t="n">
        <v>0.380877733230591</v>
      </c>
      <c r="D132" s="6" t="n">
        <v>1.2150000333786</v>
      </c>
      <c r="E132" s="14" t="n">
        <v>18</v>
      </c>
      <c r="F132" s="2" t="n">
        <v>1</v>
      </c>
      <c r="G132" s="2" t="n">
        <v>0</v>
      </c>
    </row>
    <row r="133" customFormat="false" ht="15" hidden="false" customHeight="false" outlineLevel="0" collapsed="false">
      <c r="A133" s="2" t="n">
        <v>39165</v>
      </c>
      <c r="B133" s="5" t="n">
        <v>0.514803327291949</v>
      </c>
      <c r="C133" s="11" t="n">
        <v>0.419601857662201</v>
      </c>
      <c r="D133" s="6" t="n">
        <v>1.37000000476837</v>
      </c>
      <c r="E133" s="14" t="n">
        <v>29.2857142857143</v>
      </c>
      <c r="F133" s="2" t="n">
        <v>1</v>
      </c>
      <c r="G133" s="2" t="n">
        <v>0</v>
      </c>
    </row>
    <row r="134" customFormat="false" ht="15" hidden="false" customHeight="false" outlineLevel="0" collapsed="false">
      <c r="A134" s="2" t="n">
        <v>46632</v>
      </c>
      <c r="B134" s="5" t="n">
        <v>0.513226138875638</v>
      </c>
      <c r="C134" s="11" t="n">
        <v>0.42622122168541</v>
      </c>
      <c r="D134" s="6" t="n">
        <v>2.10500001907349</v>
      </c>
      <c r="E134" s="14" t="n">
        <v>16.5714285714286</v>
      </c>
      <c r="F134" s="2" t="n">
        <v>0</v>
      </c>
      <c r="G134" s="2" t="n">
        <v>0</v>
      </c>
    </row>
    <row r="135" customFormat="false" ht="15" hidden="false" customHeight="false" outlineLevel="0" collapsed="false">
      <c r="A135" s="2" t="n">
        <v>53503</v>
      </c>
      <c r="B135" s="5" t="n">
        <v>0.510982456315237</v>
      </c>
      <c r="C135" s="11" t="n">
        <v>0.474724739789963</v>
      </c>
      <c r="D135" s="6" t="n">
        <v>2.71000003814697</v>
      </c>
      <c r="E135" s="14" t="n">
        <v>6.14285714285714</v>
      </c>
      <c r="F135" s="2" t="n">
        <v>1</v>
      </c>
      <c r="G135" s="2" t="n">
        <v>0</v>
      </c>
    </row>
    <row r="136" customFormat="false" ht="15" hidden="false" customHeight="false" outlineLevel="0" collapsed="false">
      <c r="A136" s="2" t="n">
        <v>41136</v>
      </c>
      <c r="B136" s="5" t="n">
        <v>0.50791805537811</v>
      </c>
      <c r="C136" s="11" t="n">
        <v>0.598317265510559</v>
      </c>
      <c r="D136" s="6" t="n">
        <v>2.40000009536743</v>
      </c>
      <c r="E136" s="14" t="n">
        <v>25.8571428571429</v>
      </c>
      <c r="F136" s="2" t="n">
        <v>0</v>
      </c>
      <c r="G136" s="2" t="n">
        <v>0</v>
      </c>
    </row>
    <row r="137" customFormat="false" ht="15" hidden="false" customHeight="false" outlineLevel="0" collapsed="false">
      <c r="A137" s="2" t="n">
        <v>54555</v>
      </c>
      <c r="B137" s="5" t="n">
        <v>0.50544231946344</v>
      </c>
      <c r="C137" s="11" t="n">
        <v>0.430696487426758</v>
      </c>
      <c r="D137" s="6" t="n">
        <v>3.73499989509583</v>
      </c>
      <c r="E137" s="14" t="n">
        <v>4.57142857142857</v>
      </c>
      <c r="F137" s="2" t="n">
        <v>0</v>
      </c>
      <c r="G137" s="2" t="n">
        <v>0</v>
      </c>
    </row>
    <row r="138" customFormat="false" ht="15" hidden="false" customHeight="false" outlineLevel="0" collapsed="false">
      <c r="A138" s="2" t="n">
        <v>51782</v>
      </c>
      <c r="B138" s="5" t="n">
        <v>0.505312094651064</v>
      </c>
      <c r="C138" s="11" t="n">
        <v>0.40919840335846</v>
      </c>
      <c r="D138" s="6" t="n">
        <v>2.38000011444092</v>
      </c>
      <c r="E138" s="14" t="n">
        <v>8.57142857142857</v>
      </c>
      <c r="F138" s="2" t="n">
        <v>0</v>
      </c>
      <c r="G138" s="2" t="n">
        <v>0</v>
      </c>
    </row>
    <row r="139" customFormat="false" ht="15" hidden="false" customHeight="false" outlineLevel="0" collapsed="false">
      <c r="A139" s="2" t="n">
        <v>37511</v>
      </c>
      <c r="B139" s="5" t="n">
        <v>0.505121857659564</v>
      </c>
      <c r="C139" s="11" t="n">
        <v>0.454226493835449</v>
      </c>
      <c r="D139" s="6" t="n">
        <v>1.77999997138977</v>
      </c>
      <c r="E139" s="14" t="n">
        <v>32</v>
      </c>
      <c r="F139" s="2" t="n">
        <v>1</v>
      </c>
      <c r="G139" s="2" t="n">
        <v>0</v>
      </c>
    </row>
    <row r="140" customFormat="false" ht="15" hidden="false" customHeight="false" outlineLevel="0" collapsed="false">
      <c r="A140" s="2" t="n">
        <v>51854</v>
      </c>
      <c r="B140" s="5" t="n">
        <v>0.50509747216579</v>
      </c>
      <c r="C140" s="11" t="n">
        <v>0.608436346054077</v>
      </c>
      <c r="D140" s="6" t="n">
        <v>1.78500008583069</v>
      </c>
      <c r="E140" s="14" t="n">
        <v>8.42857142857143</v>
      </c>
      <c r="F140" s="2" t="n">
        <v>1</v>
      </c>
      <c r="G140" s="2" t="n">
        <v>0</v>
      </c>
    </row>
    <row r="141" customFormat="false" ht="15" hidden="false" customHeight="false" outlineLevel="0" collapsed="false">
      <c r="A141" s="2" t="n">
        <v>25416</v>
      </c>
      <c r="B141" s="5" t="n">
        <v>0.50481983054228</v>
      </c>
      <c r="C141" s="11" t="n">
        <v>0.497483849525452</v>
      </c>
      <c r="D141" s="6" t="n">
        <v>0.865000009536743</v>
      </c>
      <c r="E141" s="14" t="n">
        <v>51.5714285714286</v>
      </c>
      <c r="F141" s="2" t="n">
        <v>1</v>
      </c>
      <c r="G141" s="2" t="n">
        <v>0</v>
      </c>
    </row>
    <row r="142" customFormat="false" ht="15" hidden="false" customHeight="false" outlineLevel="0" collapsed="false">
      <c r="A142" s="2" t="n">
        <v>50498</v>
      </c>
      <c r="B142" s="5" t="n">
        <v>0.504408674358504</v>
      </c>
      <c r="C142" s="11" t="n">
        <v>0.460749536752701</v>
      </c>
      <c r="D142" s="6" t="n">
        <v>1.46000003814697</v>
      </c>
      <c r="E142" s="14" t="n">
        <v>10.4285714285714</v>
      </c>
      <c r="F142" s="2" t="n">
        <v>0</v>
      </c>
      <c r="G142" s="2" t="n">
        <v>0</v>
      </c>
    </row>
    <row r="143" customFormat="false" ht="15" hidden="false" customHeight="false" outlineLevel="0" collapsed="false">
      <c r="A143" s="2" t="n">
        <v>51107</v>
      </c>
      <c r="B143" s="5" t="n">
        <v>0.503667953429967</v>
      </c>
      <c r="C143" s="11" t="n">
        <v>0.414098352193832</v>
      </c>
      <c r="D143" s="6" t="n">
        <v>3.27500009536743</v>
      </c>
      <c r="E143" s="14" t="n">
        <v>9.57142857142857</v>
      </c>
      <c r="F143" s="2" t="n">
        <v>0</v>
      </c>
      <c r="G143" s="2" t="n">
        <v>0</v>
      </c>
    </row>
    <row r="144" customFormat="false" ht="15" hidden="false" customHeight="false" outlineLevel="0" collapsed="false">
      <c r="A144" s="2" t="n">
        <v>46146</v>
      </c>
      <c r="B144" s="5" t="n">
        <v>0.503660019818359</v>
      </c>
      <c r="C144" s="11" t="n">
        <v>0.30201068520546</v>
      </c>
      <c r="D144" s="6" t="n">
        <v>1.8400000333786</v>
      </c>
      <c r="E144" s="14" t="n">
        <v>17.4285714285714</v>
      </c>
      <c r="F144" s="2" t="n">
        <v>0</v>
      </c>
      <c r="G144" s="2" t="n">
        <v>0</v>
      </c>
    </row>
    <row r="145" customFormat="false" ht="15" hidden="false" customHeight="false" outlineLevel="0" collapsed="false">
      <c r="A145" s="2" t="n">
        <v>53327</v>
      </c>
      <c r="B145" s="5" t="n">
        <v>0.50140835043351</v>
      </c>
      <c r="C145" s="11" t="n">
        <v>0.391054213047028</v>
      </c>
      <c r="D145" s="6" t="n">
        <v>1.50499999523163</v>
      </c>
      <c r="E145" s="14" t="n">
        <v>6.28571428571429</v>
      </c>
      <c r="F145" s="2" t="n">
        <v>0</v>
      </c>
      <c r="G145" s="2" t="n">
        <v>0</v>
      </c>
    </row>
    <row r="146" customFormat="false" ht="15" hidden="false" customHeight="false" outlineLevel="0" collapsed="false">
      <c r="A146" s="2" t="n">
        <v>54472</v>
      </c>
      <c r="B146" s="5" t="n">
        <v>0.501381618190966</v>
      </c>
      <c r="C146" s="11" t="n">
        <v>0.520624756813049</v>
      </c>
      <c r="D146" s="6" t="n">
        <v>2.59999990463257</v>
      </c>
      <c r="E146" s="14" t="n">
        <v>4.71428571428571</v>
      </c>
      <c r="F146" s="2" t="n">
        <v>1</v>
      </c>
      <c r="G146" s="2" t="n">
        <v>0</v>
      </c>
    </row>
    <row r="147" customFormat="false" ht="15" hidden="false" customHeight="false" outlineLevel="0" collapsed="false">
      <c r="A147" s="2" t="n">
        <v>37908</v>
      </c>
      <c r="B147" s="5" t="n">
        <v>0.500616333115676</v>
      </c>
      <c r="C147" s="11" t="n">
        <v>0.479999989271164</v>
      </c>
      <c r="D147" s="6" t="n">
        <v>1.00499999523163</v>
      </c>
      <c r="E147" s="14" t="n">
        <v>31.2857142857143</v>
      </c>
      <c r="F147" s="2" t="n">
        <v>1</v>
      </c>
      <c r="G147" s="2" t="n">
        <v>0</v>
      </c>
    </row>
    <row r="148" customFormat="false" ht="15" hidden="false" customHeight="false" outlineLevel="0" collapsed="false">
      <c r="A148" s="2" t="n">
        <v>47493</v>
      </c>
      <c r="B148" s="5" t="n">
        <v>0.500123291196974</v>
      </c>
      <c r="C148" s="11" t="n">
        <v>0.511023223400116</v>
      </c>
      <c r="D148" s="6" t="n">
        <v>1.12999999523163</v>
      </c>
      <c r="E148" s="14" t="n">
        <v>15.1428571428571</v>
      </c>
      <c r="F148" s="2" t="n">
        <v>0</v>
      </c>
      <c r="G148" s="2" t="n">
        <v>0</v>
      </c>
    </row>
    <row r="149" customFormat="false" ht="15" hidden="false" customHeight="false" outlineLevel="0" collapsed="false">
      <c r="A149" s="2" t="n">
        <v>29618</v>
      </c>
      <c r="B149" s="5" t="n">
        <v>0.499166439906317</v>
      </c>
      <c r="C149" s="11" t="n">
        <v>0.585505187511444</v>
      </c>
      <c r="D149" s="6" t="n">
        <v>2.04999995231628</v>
      </c>
      <c r="E149" s="14" t="n">
        <v>45</v>
      </c>
      <c r="F149" s="2" t="n">
        <v>0</v>
      </c>
      <c r="G149" s="2" t="n">
        <v>0</v>
      </c>
    </row>
    <row r="150" customFormat="false" ht="15" hidden="false" customHeight="false" outlineLevel="0" collapsed="false">
      <c r="A150" s="2" t="n">
        <v>36146</v>
      </c>
      <c r="B150" s="5" t="n">
        <v>0.498606286308002</v>
      </c>
      <c r="C150" s="11" t="n">
        <v>0.50378280878067</v>
      </c>
      <c r="D150" s="6" t="n">
        <v>1.41499996185303</v>
      </c>
      <c r="E150" s="14" t="n">
        <v>34.2857142857143</v>
      </c>
      <c r="F150" s="2" t="n">
        <v>0</v>
      </c>
      <c r="G150" s="2" t="n">
        <v>0</v>
      </c>
    </row>
    <row r="151" customFormat="false" ht="15" hidden="false" customHeight="false" outlineLevel="0" collapsed="false">
      <c r="A151" s="2" t="n">
        <v>36020</v>
      </c>
      <c r="B151" s="5" t="n">
        <v>0.497902064826748</v>
      </c>
      <c r="C151" s="11" t="n">
        <v>0.376980841159821</v>
      </c>
      <c r="D151" s="6" t="n">
        <v>1.6949999332428</v>
      </c>
      <c r="E151" s="14" t="n">
        <v>34.4285714285714</v>
      </c>
      <c r="F151" s="2" t="n">
        <v>1</v>
      </c>
      <c r="G151" s="2" t="n">
        <v>0</v>
      </c>
    </row>
    <row r="152" customFormat="false" ht="15" hidden="false" customHeight="false" outlineLevel="0" collapsed="false">
      <c r="A152" s="2" t="n">
        <v>40053</v>
      </c>
      <c r="B152" s="5" t="n">
        <v>0.497318683937721</v>
      </c>
      <c r="C152" s="11" t="n">
        <v>0.425963521003723</v>
      </c>
      <c r="D152" s="6" t="n">
        <v>1.04999995231628</v>
      </c>
      <c r="E152" s="14" t="n">
        <v>27.8571428571429</v>
      </c>
      <c r="F152" s="2" t="n">
        <v>1</v>
      </c>
      <c r="G152" s="2" t="n">
        <v>0</v>
      </c>
    </row>
    <row r="153" customFormat="false" ht="15" hidden="false" customHeight="false" outlineLevel="0" collapsed="false">
      <c r="A153" s="2" t="n">
        <v>47063</v>
      </c>
      <c r="B153" s="5" t="n">
        <v>0.494188668267899</v>
      </c>
      <c r="C153" s="11" t="n">
        <v>0.437640726566315</v>
      </c>
      <c r="D153" s="6" t="n">
        <v>1.2150000333786</v>
      </c>
      <c r="E153" s="14" t="n">
        <v>15.8571428571429</v>
      </c>
      <c r="F153" s="2" t="n">
        <v>0</v>
      </c>
      <c r="G153" s="2" t="n">
        <v>0</v>
      </c>
    </row>
    <row r="154" customFormat="false" ht="15" hidden="false" customHeight="false" outlineLevel="0" collapsed="false">
      <c r="A154" s="2" t="n">
        <v>45361</v>
      </c>
      <c r="B154" s="5" t="n">
        <v>0.494024458648157</v>
      </c>
      <c r="C154" s="11" t="n">
        <v>0.415183901786804</v>
      </c>
      <c r="D154" s="6" t="n">
        <v>0.875</v>
      </c>
      <c r="E154" s="14" t="n">
        <v>18.7142857142857</v>
      </c>
      <c r="F154" s="2" t="n">
        <v>1</v>
      </c>
      <c r="G154" s="2" t="n">
        <v>0</v>
      </c>
    </row>
    <row r="155" customFormat="false" ht="15" hidden="false" customHeight="false" outlineLevel="0" collapsed="false">
      <c r="A155" s="2" t="n">
        <v>52294</v>
      </c>
      <c r="B155" s="5" t="n">
        <v>0.493544753944171</v>
      </c>
      <c r="C155" s="11" t="n">
        <v>0.440140873193741</v>
      </c>
      <c r="D155" s="6" t="n">
        <v>1.875</v>
      </c>
      <c r="E155" s="14" t="n">
        <v>7.85714285714286</v>
      </c>
      <c r="F155" s="2" t="n">
        <v>0</v>
      </c>
      <c r="G155" s="2" t="n">
        <v>0</v>
      </c>
    </row>
    <row r="156" customFormat="false" ht="15" hidden="false" customHeight="false" outlineLevel="0" collapsed="false">
      <c r="A156" s="2" t="n">
        <v>39907</v>
      </c>
      <c r="B156" s="5" t="n">
        <v>0.492400458547893</v>
      </c>
      <c r="C156" s="11" t="n">
        <v>0.482234746217728</v>
      </c>
      <c r="D156" s="6" t="n">
        <v>2.46000003814697</v>
      </c>
      <c r="E156" s="14" t="n">
        <v>28</v>
      </c>
      <c r="F156" s="2" t="n">
        <v>1</v>
      </c>
      <c r="G156" s="2" t="n">
        <v>0</v>
      </c>
    </row>
    <row r="157" customFormat="false" ht="15" hidden="false" customHeight="false" outlineLevel="0" collapsed="false">
      <c r="A157" s="2" t="n">
        <v>21012</v>
      </c>
      <c r="B157" s="5" t="n">
        <v>0.492153319517449</v>
      </c>
      <c r="C157" s="11" t="n">
        <v>0.373919874429703</v>
      </c>
      <c r="D157" s="6" t="n">
        <v>0.59500002861023</v>
      </c>
      <c r="E157" s="14" t="n">
        <v>58.7142857142857</v>
      </c>
      <c r="F157" s="2" t="n">
        <v>1</v>
      </c>
      <c r="G157" s="2" t="n">
        <v>0</v>
      </c>
    </row>
    <row r="158" customFormat="false" ht="15" hidden="false" customHeight="false" outlineLevel="0" collapsed="false">
      <c r="A158" s="2" t="n">
        <v>44266</v>
      </c>
      <c r="B158" s="5" t="n">
        <v>0.490900413588497</v>
      </c>
      <c r="C158" s="11" t="n">
        <v>0.426805466413498</v>
      </c>
      <c r="D158" s="6" t="n">
        <v>0.819999992847443</v>
      </c>
      <c r="E158" s="14" t="n">
        <v>20.2857142857143</v>
      </c>
      <c r="F158" s="2" t="n">
        <v>0</v>
      </c>
      <c r="G158" s="2" t="n">
        <v>0</v>
      </c>
    </row>
    <row r="159" customFormat="false" ht="15" hidden="false" customHeight="false" outlineLevel="0" collapsed="false">
      <c r="A159" s="2" t="n">
        <v>54968</v>
      </c>
      <c r="B159" s="5" t="n">
        <v>0.489232637962327</v>
      </c>
      <c r="C159" s="11" t="n">
        <v>0.345902472734451</v>
      </c>
      <c r="D159" s="6" t="n">
        <v>1.72000002861023</v>
      </c>
      <c r="E159" s="14" t="n">
        <v>4</v>
      </c>
      <c r="F159" s="2" t="n">
        <v>0</v>
      </c>
      <c r="G159" s="2" t="n">
        <v>1</v>
      </c>
    </row>
    <row r="160" customFormat="false" ht="15" hidden="false" customHeight="false" outlineLevel="0" collapsed="false">
      <c r="A160" s="2" t="n">
        <v>43633</v>
      </c>
      <c r="B160" s="5" t="n">
        <v>0.48891564408832</v>
      </c>
      <c r="C160" s="11" t="n">
        <v>0.268917709589005</v>
      </c>
      <c r="D160" s="6" t="n">
        <v>1.11500000953674</v>
      </c>
      <c r="E160" s="14" t="n">
        <v>21.4285714285714</v>
      </c>
      <c r="F160" s="2" t="n">
        <v>0</v>
      </c>
      <c r="G160" s="2" t="n">
        <v>0</v>
      </c>
    </row>
    <row r="161" customFormat="false" ht="15" hidden="false" customHeight="false" outlineLevel="0" collapsed="false">
      <c r="A161" s="2" t="n">
        <v>37053</v>
      </c>
      <c r="B161" s="5" t="n">
        <v>0.487084252373697</v>
      </c>
      <c r="C161" s="11" t="n">
        <v>0.382123827934265</v>
      </c>
      <c r="D161" s="6" t="n">
        <v>1.16499996185303</v>
      </c>
      <c r="E161" s="14" t="n">
        <v>32.7142857142857</v>
      </c>
      <c r="F161" s="2" t="n">
        <v>1</v>
      </c>
      <c r="G161" s="2" t="n">
        <v>0</v>
      </c>
    </row>
    <row r="162" customFormat="false" ht="15" hidden="false" customHeight="false" outlineLevel="0" collapsed="false">
      <c r="A162" s="2" t="n">
        <v>53954</v>
      </c>
      <c r="B162" s="5" t="n">
        <v>0.484839378314308</v>
      </c>
      <c r="C162" s="11" t="n">
        <v>0.566722691059113</v>
      </c>
      <c r="D162" s="6" t="n">
        <v>2.80999994277954</v>
      </c>
      <c r="E162" s="14" t="n">
        <v>5.42857142857143</v>
      </c>
      <c r="F162" s="2" t="n">
        <v>1</v>
      </c>
      <c r="G162" s="2" t="n">
        <v>0</v>
      </c>
    </row>
    <row r="163" customFormat="false" ht="15" hidden="false" customHeight="false" outlineLevel="0" collapsed="false">
      <c r="A163" s="2" t="n">
        <v>54740</v>
      </c>
      <c r="B163" s="5" t="n">
        <v>0.482883653740176</v>
      </c>
      <c r="C163" s="11" t="n">
        <v>0.308235287666321</v>
      </c>
      <c r="D163" s="6" t="n">
        <v>1.30999994277954</v>
      </c>
      <c r="E163" s="14" t="n">
        <v>4.28571428571429</v>
      </c>
      <c r="F163" s="2" t="n">
        <v>0</v>
      </c>
      <c r="G163" s="2" t="n">
        <v>1</v>
      </c>
    </row>
    <row r="164" customFormat="false" ht="15" hidden="false" customHeight="false" outlineLevel="0" collapsed="false">
      <c r="A164" s="2" t="n">
        <v>47729</v>
      </c>
      <c r="B164" s="5" t="n">
        <v>0.481674078629713</v>
      </c>
      <c r="C164" s="11" t="n">
        <v>0.363789439201355</v>
      </c>
      <c r="D164" s="6" t="n">
        <v>1.07999992370606</v>
      </c>
      <c r="E164" s="14" t="n">
        <v>14.7142857142857</v>
      </c>
      <c r="F164" s="2" t="n">
        <v>0</v>
      </c>
      <c r="G164" s="2" t="n">
        <v>0</v>
      </c>
    </row>
    <row r="165" customFormat="false" ht="15" hidden="false" customHeight="false" outlineLevel="0" collapsed="false">
      <c r="A165" s="2" t="n">
        <v>24775</v>
      </c>
      <c r="B165" s="5" t="n">
        <v>0.479271403055725</v>
      </c>
      <c r="C165" s="11" t="n">
        <v>0.383157879114151</v>
      </c>
      <c r="D165" s="6" t="n">
        <v>0.455000013113022</v>
      </c>
      <c r="E165" s="14" t="n">
        <v>52.5714285714286</v>
      </c>
      <c r="F165" s="2" t="n">
        <v>0</v>
      </c>
      <c r="G165" s="2" t="n">
        <v>0</v>
      </c>
    </row>
    <row r="166" customFormat="false" ht="15" hidden="false" customHeight="false" outlineLevel="0" collapsed="false">
      <c r="A166" s="2" t="n">
        <v>48076</v>
      </c>
      <c r="B166" s="5" t="n">
        <v>0.478239723922034</v>
      </c>
      <c r="C166" s="11" t="n">
        <v>0.443773567676544</v>
      </c>
      <c r="D166" s="6" t="n">
        <v>2.20499992370606</v>
      </c>
      <c r="E166" s="14" t="n">
        <v>14.1428571428571</v>
      </c>
      <c r="F166" s="2" t="n">
        <v>1</v>
      </c>
      <c r="G166" s="2" t="n">
        <v>0</v>
      </c>
    </row>
    <row r="167" customFormat="false" ht="15" hidden="false" customHeight="false" outlineLevel="0" collapsed="false">
      <c r="A167" s="2" t="n">
        <v>32848</v>
      </c>
      <c r="B167" s="5" t="n">
        <v>0.477337236481656</v>
      </c>
      <c r="C167" s="11" t="n">
        <v>0.390298306941986</v>
      </c>
      <c r="D167" s="6" t="n">
        <v>1.75</v>
      </c>
      <c r="E167" s="14" t="n">
        <v>39.5714285714286</v>
      </c>
      <c r="F167" s="2" t="n">
        <v>0</v>
      </c>
      <c r="G167" s="2" t="n">
        <v>1</v>
      </c>
    </row>
    <row r="168" customFormat="false" ht="15" hidden="false" customHeight="false" outlineLevel="0" collapsed="false">
      <c r="A168" s="2" t="n">
        <v>18053</v>
      </c>
      <c r="B168" s="5" t="n">
        <v>0.476778826021114</v>
      </c>
      <c r="C168" s="11" t="n">
        <v>0.37713435292244</v>
      </c>
      <c r="D168" s="6" t="n">
        <v>0.634999990463257</v>
      </c>
      <c r="E168" s="14" t="n">
        <v>64</v>
      </c>
      <c r="F168" s="2" t="n">
        <v>1</v>
      </c>
      <c r="G168" s="2" t="n">
        <v>0</v>
      </c>
    </row>
    <row r="169" customFormat="false" ht="15" hidden="false" customHeight="false" outlineLevel="0" collapsed="false">
      <c r="A169" s="2" t="n">
        <v>46870</v>
      </c>
      <c r="B169" s="5" t="n">
        <v>0.476582555273805</v>
      </c>
      <c r="C169" s="11" t="n">
        <v>0.489770233631134</v>
      </c>
      <c r="D169" s="6" t="n">
        <v>1.94500005245209</v>
      </c>
      <c r="E169" s="14" t="n">
        <v>16.1428571428571</v>
      </c>
      <c r="F169" s="2" t="n">
        <v>0</v>
      </c>
      <c r="G169" s="2" t="n">
        <v>1</v>
      </c>
    </row>
    <row r="170" customFormat="false" ht="15" hidden="false" customHeight="false" outlineLevel="0" collapsed="false">
      <c r="A170" s="2" t="n">
        <v>43626</v>
      </c>
      <c r="B170" s="5" t="n">
        <v>0.476448203826551</v>
      </c>
      <c r="C170" s="11" t="n">
        <v>0.495650142431259</v>
      </c>
      <c r="D170" s="6" t="n">
        <v>2.63499999046326</v>
      </c>
      <c r="E170" s="14" t="n">
        <v>21.4285714285714</v>
      </c>
      <c r="F170" s="2" t="n">
        <v>0</v>
      </c>
      <c r="G170" s="2" t="n">
        <v>0</v>
      </c>
    </row>
    <row r="171" customFormat="false" ht="15" hidden="false" customHeight="false" outlineLevel="0" collapsed="false">
      <c r="A171" s="2" t="n">
        <v>44590</v>
      </c>
      <c r="B171" s="5" t="n">
        <v>0.475162391848918</v>
      </c>
      <c r="C171" s="11" t="n">
        <v>0.587312877178192</v>
      </c>
      <c r="D171" s="6" t="n">
        <v>2.05999994277954</v>
      </c>
      <c r="E171" s="14" t="n">
        <v>19.8571428571429</v>
      </c>
      <c r="F171" s="2" t="n">
        <v>1</v>
      </c>
      <c r="G171" s="2" t="n">
        <v>0</v>
      </c>
    </row>
    <row r="172" customFormat="false" ht="15" hidden="false" customHeight="false" outlineLevel="0" collapsed="false">
      <c r="A172" s="2" t="n">
        <v>27426</v>
      </c>
      <c r="B172" s="5" t="n">
        <v>0.47451864807616</v>
      </c>
      <c r="C172" s="11" t="n">
        <v>0.526969969272614</v>
      </c>
      <c r="D172" s="6" t="n">
        <v>2.65000009536743</v>
      </c>
      <c r="E172" s="14" t="n">
        <v>48.4285714285714</v>
      </c>
      <c r="F172" s="2" t="n">
        <v>0</v>
      </c>
      <c r="G172" s="2" t="n">
        <v>0</v>
      </c>
    </row>
    <row r="173" customFormat="false" ht="15" hidden="false" customHeight="false" outlineLevel="0" collapsed="false">
      <c r="A173" s="2" t="n">
        <v>51762</v>
      </c>
      <c r="B173" s="5" t="n">
        <v>0.473804786387704</v>
      </c>
      <c r="C173" s="11" t="n">
        <v>0.524519562721252</v>
      </c>
      <c r="D173" s="6" t="n">
        <v>4.2649998664856</v>
      </c>
      <c r="E173" s="14" t="n">
        <v>8.57142857142857</v>
      </c>
      <c r="F173" s="2" t="n">
        <v>0</v>
      </c>
      <c r="G173" s="2" t="n">
        <v>0</v>
      </c>
    </row>
    <row r="174" customFormat="false" ht="15" hidden="false" customHeight="false" outlineLevel="0" collapsed="false">
      <c r="A174" s="2" t="n">
        <v>38175</v>
      </c>
      <c r="B174" s="5" t="n">
        <v>0.473698085829526</v>
      </c>
      <c r="C174" s="11" t="n">
        <v>0.520238101482391</v>
      </c>
      <c r="D174" s="6" t="n">
        <v>2.18499994277954</v>
      </c>
      <c r="E174" s="14" t="n">
        <v>30.8571428571429</v>
      </c>
      <c r="F174" s="2" t="n">
        <v>1</v>
      </c>
      <c r="G174" s="2" t="n">
        <v>0</v>
      </c>
    </row>
    <row r="175" customFormat="false" ht="15" hidden="false" customHeight="false" outlineLevel="0" collapsed="false">
      <c r="A175" s="2" t="n">
        <v>33721</v>
      </c>
      <c r="B175" s="5" t="n">
        <v>0.473310914747974</v>
      </c>
      <c r="C175" s="11" t="n">
        <v>0.352941185235977</v>
      </c>
      <c r="D175" s="6" t="n">
        <v>1.125</v>
      </c>
      <c r="E175" s="14" t="n">
        <v>38.2857142857143</v>
      </c>
      <c r="F175" s="2" t="n">
        <v>1</v>
      </c>
      <c r="G175" s="2" t="n">
        <v>0</v>
      </c>
    </row>
    <row r="176" customFormat="false" ht="15" hidden="false" customHeight="false" outlineLevel="0" collapsed="false">
      <c r="A176" s="2" t="n">
        <v>54607</v>
      </c>
      <c r="B176" s="5" t="n">
        <v>0.473140668348416</v>
      </c>
      <c r="C176" s="11" t="n">
        <v>0.293112546205521</v>
      </c>
      <c r="D176" s="6" t="n">
        <v>1.11500000953674</v>
      </c>
      <c r="E176" s="14" t="n">
        <v>4.42857142857143</v>
      </c>
      <c r="F176" s="2" t="n">
        <v>0</v>
      </c>
      <c r="G176" s="2" t="n">
        <v>1</v>
      </c>
    </row>
    <row r="177" customFormat="false" ht="15" hidden="false" customHeight="false" outlineLevel="0" collapsed="false">
      <c r="A177" s="2" t="n">
        <v>33199</v>
      </c>
      <c r="B177" s="5" t="n">
        <v>0.471873762664614</v>
      </c>
      <c r="C177" s="11" t="n">
        <v>0.413870245218277</v>
      </c>
      <c r="D177" s="6" t="n">
        <v>0.924999952316284</v>
      </c>
      <c r="E177" s="14" t="n">
        <v>39.1428571428572</v>
      </c>
      <c r="F177" s="2" t="n">
        <v>0</v>
      </c>
      <c r="G177" s="2" t="n">
        <v>0</v>
      </c>
    </row>
    <row r="178" customFormat="false" ht="15" hidden="false" customHeight="false" outlineLevel="0" collapsed="false">
      <c r="A178" s="2" t="n">
        <v>54932</v>
      </c>
      <c r="B178" s="5" t="n">
        <v>0.471078003707997</v>
      </c>
      <c r="C178" s="11" t="n">
        <v>0.365467607975006</v>
      </c>
      <c r="D178" s="6" t="n">
        <v>1.90499997138977</v>
      </c>
      <c r="E178" s="14" t="n">
        <v>4</v>
      </c>
      <c r="F178" s="2" t="n">
        <v>1</v>
      </c>
      <c r="G178" s="2" t="n">
        <v>0</v>
      </c>
    </row>
    <row r="179" customFormat="false" ht="15" hidden="false" customHeight="false" outlineLevel="0" collapsed="false">
      <c r="A179" s="2" t="n">
        <v>35818</v>
      </c>
      <c r="B179" s="5" t="n">
        <v>0.470965956175793</v>
      </c>
      <c r="C179" s="11" t="n">
        <v>0.485815614461899</v>
      </c>
      <c r="D179" s="6" t="n">
        <v>0.685000002384186</v>
      </c>
      <c r="E179" s="14" t="n">
        <v>34.8571428571429</v>
      </c>
      <c r="F179" s="2" t="n">
        <v>0</v>
      </c>
      <c r="G179" s="2" t="n">
        <v>0</v>
      </c>
    </row>
    <row r="180" customFormat="false" ht="15" hidden="false" customHeight="false" outlineLevel="0" collapsed="false">
      <c r="A180" s="2" t="n">
        <v>51456</v>
      </c>
      <c r="B180" s="5" t="n">
        <v>0.469484283681201</v>
      </c>
      <c r="C180" s="11" t="n">
        <v>0.621331453323364</v>
      </c>
      <c r="D180" s="6" t="n">
        <v>2.17000007629395</v>
      </c>
      <c r="E180" s="14" t="n">
        <v>9.14285714285714</v>
      </c>
      <c r="F180" s="2" t="n">
        <v>1</v>
      </c>
      <c r="G180" s="2" t="n">
        <v>0</v>
      </c>
    </row>
    <row r="181" customFormat="false" ht="15" hidden="false" customHeight="false" outlineLevel="0" collapsed="false">
      <c r="A181" s="2" t="n">
        <v>45094</v>
      </c>
      <c r="B181" s="5" t="n">
        <v>0.467608375311958</v>
      </c>
      <c r="C181" s="11" t="n">
        <v>0.463426113128662</v>
      </c>
      <c r="D181" s="6" t="n">
        <v>2.45499992370606</v>
      </c>
      <c r="E181" s="14" t="n">
        <v>19.1428571428571</v>
      </c>
      <c r="F181" s="2" t="n">
        <v>0</v>
      </c>
      <c r="G181" s="2" t="n">
        <v>0</v>
      </c>
    </row>
    <row r="182" customFormat="false" ht="15" hidden="false" customHeight="false" outlineLevel="0" collapsed="false">
      <c r="A182" s="2" t="n">
        <v>46988</v>
      </c>
      <c r="B182" s="5" t="n">
        <v>0.466847232092862</v>
      </c>
      <c r="C182" s="11" t="n">
        <v>0.418837994337082</v>
      </c>
      <c r="D182" s="6" t="n">
        <v>3.23499989509583</v>
      </c>
      <c r="E182" s="14" t="n">
        <v>15.8571428571429</v>
      </c>
      <c r="F182" s="2" t="n">
        <v>1</v>
      </c>
      <c r="G182" s="2" t="n">
        <v>0</v>
      </c>
    </row>
    <row r="183" customFormat="false" ht="15" hidden="false" customHeight="false" outlineLevel="0" collapsed="false">
      <c r="A183" s="2" t="n">
        <v>49701</v>
      </c>
      <c r="B183" s="5" t="n">
        <v>0.465637628258088</v>
      </c>
      <c r="C183" s="11" t="n">
        <v>0.636192858219147</v>
      </c>
      <c r="D183" s="6" t="n">
        <v>1.26999998092651</v>
      </c>
      <c r="E183" s="14" t="n">
        <v>11.7142857142857</v>
      </c>
      <c r="F183" s="2" t="n">
        <v>0</v>
      </c>
      <c r="G183" s="2" t="n">
        <v>1</v>
      </c>
    </row>
    <row r="184" customFormat="false" ht="15" hidden="false" customHeight="false" outlineLevel="0" collapsed="false">
      <c r="A184" s="2" t="n">
        <v>35677</v>
      </c>
      <c r="B184" s="5" t="n">
        <v>0.461793004900958</v>
      </c>
      <c r="C184" s="11" t="n">
        <v>0.538775503635407</v>
      </c>
      <c r="D184" s="6" t="n">
        <v>2.97000002861023</v>
      </c>
      <c r="E184" s="14" t="n">
        <v>35</v>
      </c>
      <c r="F184" s="2" t="n">
        <v>1</v>
      </c>
      <c r="G184" s="2" t="n">
        <v>0</v>
      </c>
    </row>
    <row r="185" customFormat="false" ht="15" hidden="false" customHeight="false" outlineLevel="0" collapsed="false">
      <c r="A185" s="2" t="n">
        <v>22826</v>
      </c>
      <c r="B185" s="5" t="n">
        <v>0.461471831627406</v>
      </c>
      <c r="C185" s="11" t="n">
        <v>0.38481679558754</v>
      </c>
      <c r="D185" s="6" t="n">
        <v>1.47000002861023</v>
      </c>
      <c r="E185" s="14" t="n">
        <v>55.2857142857143</v>
      </c>
      <c r="F185" s="2" t="n">
        <v>0</v>
      </c>
      <c r="G185" s="2" t="n">
        <v>1</v>
      </c>
    </row>
    <row r="186" customFormat="false" ht="15" hidden="false" customHeight="false" outlineLevel="0" collapsed="false">
      <c r="A186" s="2" t="n">
        <v>52642</v>
      </c>
      <c r="B186" s="5" t="n">
        <v>0.460707469192977</v>
      </c>
      <c r="C186" s="11" t="n">
        <v>0.56726884841919</v>
      </c>
      <c r="D186" s="6" t="n">
        <v>2.63000011444092</v>
      </c>
      <c r="E186" s="14" t="n">
        <v>7.28571428571429</v>
      </c>
      <c r="F186" s="2" t="n">
        <v>0</v>
      </c>
      <c r="G186" s="2" t="n">
        <v>0</v>
      </c>
    </row>
    <row r="187" customFormat="false" ht="15" hidden="false" customHeight="false" outlineLevel="0" collapsed="false">
      <c r="A187" s="2" t="n">
        <v>29685</v>
      </c>
      <c r="B187" s="5" t="n">
        <v>0.45932489527566</v>
      </c>
      <c r="C187" s="11" t="n">
        <v>0.429125398397446</v>
      </c>
      <c r="D187" s="6" t="n">
        <v>1.24500000476837</v>
      </c>
      <c r="E187" s="14" t="n">
        <v>44.8571428571429</v>
      </c>
      <c r="F187" s="2" t="n">
        <v>0</v>
      </c>
      <c r="G187" s="2" t="n">
        <v>0</v>
      </c>
    </row>
    <row r="188" customFormat="false" ht="15" hidden="false" customHeight="false" outlineLevel="0" collapsed="false">
      <c r="A188" s="2" t="n">
        <v>54246</v>
      </c>
      <c r="B188" s="5" t="n">
        <v>0.458752444791039</v>
      </c>
      <c r="C188" s="11" t="n">
        <v>0.378757506608963</v>
      </c>
      <c r="D188" s="6" t="n">
        <v>3.46499991416931</v>
      </c>
      <c r="E188" s="14" t="n">
        <v>5.14285714285714</v>
      </c>
      <c r="F188" s="2" t="n">
        <v>1</v>
      </c>
      <c r="G188" s="2" t="n">
        <v>0</v>
      </c>
    </row>
    <row r="189" customFormat="false" ht="15" hidden="false" customHeight="false" outlineLevel="0" collapsed="false">
      <c r="A189" s="2" t="n">
        <v>31607</v>
      </c>
      <c r="B189" s="5" t="n">
        <v>0.455597440125517</v>
      </c>
      <c r="C189" s="11" t="n">
        <v>0.600755393505096</v>
      </c>
      <c r="D189" s="6" t="n">
        <v>3.38000011444092</v>
      </c>
      <c r="E189" s="14" t="n">
        <v>41.5714285714286</v>
      </c>
      <c r="F189" s="2" t="n">
        <v>1</v>
      </c>
      <c r="G189" s="2" t="n">
        <v>0</v>
      </c>
    </row>
    <row r="190" customFormat="false" ht="15" hidden="false" customHeight="false" outlineLevel="0" collapsed="false">
      <c r="A190" s="2" t="n">
        <v>50305</v>
      </c>
      <c r="B190" s="5" t="n">
        <v>0.454020764888982</v>
      </c>
      <c r="C190" s="11" t="n">
        <v>0.38702130317688</v>
      </c>
      <c r="D190" s="6" t="n">
        <v>3.30999994277954</v>
      </c>
      <c r="E190" s="14" t="n">
        <v>10.8571428571429</v>
      </c>
      <c r="F190" s="2" t="n">
        <v>0</v>
      </c>
      <c r="G190" s="2" t="n">
        <v>0</v>
      </c>
    </row>
    <row r="191" customFormat="false" ht="15" hidden="false" customHeight="false" outlineLevel="0" collapsed="false">
      <c r="A191" s="2" t="n">
        <v>21203</v>
      </c>
      <c r="B191" s="5" t="n">
        <v>0.454012198074496</v>
      </c>
      <c r="C191" s="11" t="n">
        <v>0.523281574249268</v>
      </c>
      <c r="D191" s="6" t="n">
        <v>1.47499990463257</v>
      </c>
      <c r="E191" s="14" t="n">
        <v>58.2857142857143</v>
      </c>
      <c r="F191" s="2" t="n">
        <v>1</v>
      </c>
      <c r="G191" s="2" t="n">
        <v>0</v>
      </c>
    </row>
    <row r="192" customFormat="false" ht="15" hidden="false" customHeight="false" outlineLevel="0" collapsed="false">
      <c r="A192" s="2" t="n">
        <v>35546</v>
      </c>
      <c r="B192" s="5" t="n">
        <v>0.452725793595464</v>
      </c>
      <c r="C192" s="11" t="n">
        <v>0.355475753545761</v>
      </c>
      <c r="D192" s="6" t="n">
        <v>1.48500001430512</v>
      </c>
      <c r="E192" s="14" t="n">
        <v>35.2857142857143</v>
      </c>
      <c r="F192" s="2" t="n">
        <v>1</v>
      </c>
      <c r="G192" s="2" t="n">
        <v>0</v>
      </c>
    </row>
    <row r="193" customFormat="false" ht="15" hidden="false" customHeight="false" outlineLevel="0" collapsed="false">
      <c r="A193" s="2" t="n">
        <v>50688</v>
      </c>
      <c r="B193" s="5" t="n">
        <v>0.449819743253261</v>
      </c>
      <c r="C193" s="11" t="n">
        <v>0.449927777051926</v>
      </c>
      <c r="D193" s="6" t="n">
        <v>4.28499984741211</v>
      </c>
      <c r="E193" s="14" t="n">
        <v>10.2857142857143</v>
      </c>
      <c r="F193" s="2" t="n">
        <v>1</v>
      </c>
      <c r="G193" s="2" t="n">
        <v>0</v>
      </c>
    </row>
    <row r="194" customFormat="false" ht="15" hidden="false" customHeight="false" outlineLevel="0" collapsed="false">
      <c r="A194" s="2" t="n">
        <v>47044</v>
      </c>
      <c r="B194" s="5" t="n">
        <v>0.449437528699283</v>
      </c>
      <c r="C194" s="11" t="n">
        <v>0.619890213012695</v>
      </c>
      <c r="D194" s="6" t="n">
        <v>1.26999998092651</v>
      </c>
      <c r="E194" s="14" t="n">
        <v>15.8571428571429</v>
      </c>
      <c r="F194" s="2" t="n">
        <v>0</v>
      </c>
      <c r="G194" s="2" t="n">
        <v>0</v>
      </c>
    </row>
    <row r="195" customFormat="false" ht="15" hidden="false" customHeight="false" outlineLevel="0" collapsed="false">
      <c r="A195" s="2" t="n">
        <v>39913</v>
      </c>
      <c r="B195" s="5" t="n">
        <v>0.449362474281351</v>
      </c>
      <c r="C195" s="11" t="n">
        <v>0.583963751792908</v>
      </c>
      <c r="D195" s="6" t="n">
        <v>1.9300000667572</v>
      </c>
      <c r="E195" s="14" t="n">
        <v>28</v>
      </c>
      <c r="F195" s="2" t="n">
        <v>0</v>
      </c>
      <c r="G195" s="2" t="n">
        <v>1</v>
      </c>
    </row>
    <row r="196" customFormat="false" ht="15" hidden="false" customHeight="false" outlineLevel="0" collapsed="false">
      <c r="A196" s="2" t="n">
        <v>50645</v>
      </c>
      <c r="B196" s="5" t="n">
        <v>0.448428449122756</v>
      </c>
      <c r="C196" s="11" t="n">
        <v>0.603899776935577</v>
      </c>
      <c r="D196" s="6" t="n">
        <v>2.71000003814697</v>
      </c>
      <c r="E196" s="14" t="n">
        <v>10.2857142857143</v>
      </c>
      <c r="F196" s="2" t="n">
        <v>0</v>
      </c>
      <c r="G196" s="2" t="n">
        <v>1</v>
      </c>
    </row>
    <row r="197" customFormat="false" ht="15" hidden="false" customHeight="false" outlineLevel="0" collapsed="false">
      <c r="A197" s="2" t="n">
        <v>42510</v>
      </c>
      <c r="B197" s="5" t="n">
        <v>0.44026608068208</v>
      </c>
      <c r="C197" s="11" t="n">
        <v>0.647872865200043</v>
      </c>
      <c r="D197" s="6" t="n">
        <v>3.15999984741211</v>
      </c>
      <c r="E197" s="14" t="n">
        <v>23.4285714285714</v>
      </c>
      <c r="F197" s="2" t="n">
        <v>1</v>
      </c>
      <c r="G197" s="2" t="n">
        <v>0</v>
      </c>
    </row>
    <row r="198" customFormat="false" ht="15" hidden="false" customHeight="false" outlineLevel="0" collapsed="false">
      <c r="A198" s="2" t="n">
        <v>35055</v>
      </c>
      <c r="B198" s="5" t="n">
        <v>0.439924051805325</v>
      </c>
      <c r="C198" s="11" t="n">
        <v>0.509804010391235</v>
      </c>
      <c r="D198" s="6" t="n">
        <v>1.17000007629395</v>
      </c>
      <c r="E198" s="14" t="n">
        <v>36.1428571428572</v>
      </c>
      <c r="F198" s="2" t="n">
        <v>1</v>
      </c>
      <c r="G198" s="2" t="n">
        <v>0</v>
      </c>
    </row>
    <row r="199" customFormat="false" ht="15" hidden="false" customHeight="false" outlineLevel="0" collapsed="false">
      <c r="A199" s="2" t="n">
        <v>47187</v>
      </c>
      <c r="B199" s="5" t="n">
        <v>0.439507498624886</v>
      </c>
      <c r="C199" s="11" t="n">
        <v>0.396313399076462</v>
      </c>
      <c r="D199" s="6" t="n">
        <v>2.15000009536743</v>
      </c>
      <c r="E199" s="14" t="n">
        <v>15.5714285714286</v>
      </c>
      <c r="F199" s="2" t="n">
        <v>1</v>
      </c>
      <c r="G199" s="2" t="n">
        <v>0</v>
      </c>
    </row>
    <row r="200" customFormat="false" ht="15" hidden="false" customHeight="false" outlineLevel="0" collapsed="false">
      <c r="A200" s="2" t="n">
        <v>32823</v>
      </c>
      <c r="B200" s="5" t="n">
        <v>0.436523429435411</v>
      </c>
      <c r="C200" s="11" t="n">
        <v>0.452088415622711</v>
      </c>
      <c r="D200" s="6" t="n">
        <v>2.0699999332428</v>
      </c>
      <c r="E200" s="14" t="n">
        <v>39.7142857142857</v>
      </c>
      <c r="F200" s="2" t="n">
        <v>0</v>
      </c>
      <c r="G200" s="2" t="n">
        <v>0</v>
      </c>
    </row>
    <row r="201" customFormat="false" ht="15" hidden="false" customHeight="false" outlineLevel="0" collapsed="false">
      <c r="A201" s="2" t="n">
        <v>48937</v>
      </c>
      <c r="B201" s="5" t="n">
        <v>0.43583503852162</v>
      </c>
      <c r="C201" s="11" t="n">
        <v>0.493729382753372</v>
      </c>
      <c r="D201" s="6" t="n">
        <v>0.935000002384186</v>
      </c>
      <c r="E201" s="14" t="n">
        <v>12.8571428571429</v>
      </c>
      <c r="F201" s="2" t="n">
        <v>0</v>
      </c>
      <c r="G20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21"/>
    <col collapsed="false" customWidth="true" hidden="false" outlineLevel="0" max="4" min="4" style="0" width="22"/>
    <col collapsed="false" customWidth="true" hidden="false" outlineLevel="0" max="6" min="5" style="0" width="23"/>
  </cols>
  <sheetData>
    <row r="1" customFormat="false" ht="15" hidden="false" customHeight="false" outlineLevel="0" collapsed="false">
      <c r="A1" s="3" t="s">
        <v>15</v>
      </c>
      <c r="B1" s="3" t="s">
        <v>16</v>
      </c>
      <c r="C1" s="2"/>
      <c r="D1" s="2"/>
      <c r="E1" s="2"/>
      <c r="F1" s="2"/>
    </row>
    <row r="2" customFormat="false" ht="15" hidden="false" customHeight="false" outlineLevel="0" collapsed="false">
      <c r="A2" s="2" t="s">
        <v>173</v>
      </c>
      <c r="B2" s="5" t="n">
        <v>0.257534246575343</v>
      </c>
      <c r="C2" s="2"/>
      <c r="D2" s="2"/>
      <c r="E2" s="2"/>
      <c r="F2" s="2"/>
    </row>
    <row r="3" customFormat="false" ht="15" hidden="false" customHeight="false" outlineLevel="0" collapsed="false">
      <c r="A3" s="2" t="s">
        <v>174</v>
      </c>
      <c r="B3" s="5" t="n">
        <v>0.18953323903819</v>
      </c>
      <c r="C3" s="2"/>
      <c r="D3" s="2"/>
      <c r="E3" s="2"/>
      <c r="F3" s="2"/>
    </row>
    <row r="4" customFormat="false" ht="15" hidden="false" customHeight="false" outlineLevel="0" collapsed="false">
      <c r="A4" s="2" t="s">
        <v>175</v>
      </c>
      <c r="B4" s="6" t="n">
        <v>-6.80010075371529</v>
      </c>
      <c r="C4" s="2"/>
      <c r="D4" s="2"/>
      <c r="E4" s="2"/>
      <c r="F4" s="2"/>
    </row>
    <row r="5" customFormat="false" ht="15" hidden="false" customHeight="false" outlineLevel="0" collapsed="false">
      <c r="A5" s="2" t="s">
        <v>176</v>
      </c>
      <c r="B5" s="6" t="n">
        <v>-11.1227693708706</v>
      </c>
      <c r="C5" s="2"/>
      <c r="D5" s="2"/>
      <c r="E5" s="2"/>
      <c r="F5" s="2"/>
    </row>
    <row r="6" customFormat="false" ht="15" hidden="false" customHeight="false" outlineLevel="0" collapsed="false">
      <c r="A6" s="2" t="s">
        <v>177</v>
      </c>
      <c r="B6" s="6" t="n">
        <v>-2.56966053748232</v>
      </c>
      <c r="C6" s="2"/>
      <c r="D6" s="2"/>
      <c r="E6" s="2"/>
      <c r="F6" s="2"/>
    </row>
    <row r="7" customFormat="false" ht="15" hidden="false" customHeight="false" outlineLevel="0" collapsed="false">
      <c r="A7" s="2" t="s">
        <v>178</v>
      </c>
      <c r="B7" s="13" t="n">
        <v>0.0014</v>
      </c>
      <c r="C7" s="2"/>
      <c r="D7" s="2"/>
      <c r="E7" s="2"/>
      <c r="F7" s="2"/>
    </row>
    <row r="8" customFormat="false" ht="15" hidden="false" customHeight="false" outlineLevel="0" collapsed="false">
      <c r="A8" s="2" t="s">
        <v>179</v>
      </c>
      <c r="B8" s="4" t="n">
        <v>707</v>
      </c>
      <c r="C8" s="2"/>
      <c r="D8" s="2"/>
      <c r="E8" s="2"/>
      <c r="F8" s="2"/>
    </row>
    <row r="9" customFormat="false" ht="15" hidden="false" customHeight="false" outlineLevel="0" collapsed="false">
      <c r="A9" s="2" t="s">
        <v>180</v>
      </c>
      <c r="B9" s="4" t="n">
        <v>730</v>
      </c>
      <c r="C9" s="2"/>
      <c r="D9" s="2"/>
      <c r="E9" s="2"/>
      <c r="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  <row r="11" customFormat="false" ht="15" hidden="false" customHeight="false" outlineLevel="0" collapsed="false">
      <c r="A11" s="12" t="s">
        <v>181</v>
      </c>
      <c r="B11" s="2"/>
      <c r="C11" s="2"/>
      <c r="D11" s="2"/>
      <c r="E11" s="2"/>
      <c r="F11" s="2"/>
    </row>
    <row r="12" customFormat="false" ht="15" hidden="false" customHeight="false" outlineLevel="0" collapsed="false">
      <c r="A12" s="3" t="s">
        <v>182</v>
      </c>
      <c r="B12" s="3" t="s">
        <v>66</v>
      </c>
      <c r="C12" s="3" t="s">
        <v>173</v>
      </c>
      <c r="D12" s="3" t="s">
        <v>183</v>
      </c>
      <c r="E12" s="3" t="s">
        <v>184</v>
      </c>
      <c r="F12" s="3" t="s">
        <v>185</v>
      </c>
    </row>
    <row r="13" customFormat="false" ht="15" hidden="false" customHeight="false" outlineLevel="0" collapsed="false">
      <c r="A13" s="2" t="s">
        <v>186</v>
      </c>
      <c r="B13" s="2" t="n">
        <v>479</v>
      </c>
      <c r="C13" s="5" t="n">
        <v>0.368200836820084</v>
      </c>
      <c r="D13" s="5" t="n">
        <v>-0.0932008368200837</v>
      </c>
      <c r="E13" s="5" t="n">
        <v>-0.176624978626667</v>
      </c>
      <c r="F13" s="5" t="n">
        <v>-0.00977669501350037</v>
      </c>
    </row>
    <row r="14" customFormat="false" ht="15" hidden="false" customHeight="false" outlineLevel="0" collapsed="false">
      <c r="A14" s="2" t="s">
        <v>187</v>
      </c>
      <c r="B14" s="2" t="n">
        <v>479</v>
      </c>
      <c r="C14" s="5" t="n">
        <v>0.307692307692308</v>
      </c>
      <c r="D14" s="5" t="n">
        <v>-0.135278514588859</v>
      </c>
      <c r="E14" s="5" t="n">
        <v>-0.210773370587676</v>
      </c>
      <c r="F14" s="5" t="n">
        <v>-0.0597836585900426</v>
      </c>
    </row>
    <row r="15" customFormat="false" ht="15" hidden="false" customHeight="false" outlineLevel="0" collapsed="false">
      <c r="A15" s="2" t="s">
        <v>188</v>
      </c>
      <c r="B15" s="2" t="n">
        <v>479</v>
      </c>
      <c r="C15" s="5" t="n">
        <v>0.0983606557377049</v>
      </c>
      <c r="D15" s="5" t="n">
        <v>0.0207882804325079</v>
      </c>
      <c r="E15" s="5" t="n">
        <v>-0.0351138989962071</v>
      </c>
      <c r="F15" s="5" t="n">
        <v>0.0766904598612229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3" min="2" style="0" width="20"/>
    <col collapsed="false" customWidth="true" hidden="false" outlineLevel="0" max="4" min="4" style="0" width="21"/>
  </cols>
  <sheetData>
    <row r="1" customFormat="false" ht="15" hidden="false" customHeight="false" outlineLevel="0" collapsed="false">
      <c r="A1" s="3" t="s">
        <v>189</v>
      </c>
      <c r="B1" s="3" t="s">
        <v>190</v>
      </c>
      <c r="C1" s="3" t="s">
        <v>191</v>
      </c>
      <c r="D1" s="3" t="s">
        <v>192</v>
      </c>
    </row>
    <row r="2" customFormat="false" ht="15" hidden="false" customHeight="false" outlineLevel="0" collapsed="false">
      <c r="A2" s="2" t="s">
        <v>193</v>
      </c>
      <c r="B2" s="6" t="n">
        <v>94.8441240127202</v>
      </c>
      <c r="C2" s="6" t="n">
        <v>80.1060593165931</v>
      </c>
      <c r="D2" s="6" t="n">
        <v>111.94411677762</v>
      </c>
    </row>
    <row r="3" customFormat="false" ht="15" hidden="false" customHeight="false" outlineLevel="0" collapsed="false">
      <c r="A3" s="2" t="s">
        <v>194</v>
      </c>
      <c r="B3" s="6" t="n">
        <v>91.0346146298333</v>
      </c>
      <c r="C3" s="6" t="n">
        <v>75.2966602813522</v>
      </c>
      <c r="D3" s="6" t="n">
        <v>107.019538223592</v>
      </c>
    </row>
    <row r="4" customFormat="false" ht="15" hidden="false" customHeight="false" outlineLevel="0" collapsed="false">
      <c r="A4" s="2" t="s">
        <v>63</v>
      </c>
      <c r="B4" s="6" t="n">
        <v>91.8266160493138</v>
      </c>
      <c r="C4" s="6" t="n">
        <v>74.4340183888554</v>
      </c>
      <c r="D4" s="6" t="n">
        <v>111.767436574727</v>
      </c>
    </row>
    <row r="5" customFormat="false" ht="15" hidden="false" customHeight="false" outlineLevel="0" collapsed="false">
      <c r="A5" s="2" t="s">
        <v>195</v>
      </c>
      <c r="B5" s="6" t="n">
        <v>95.5878917823334</v>
      </c>
      <c r="C5" s="6" t="n">
        <v>74.36632044956</v>
      </c>
      <c r="D5" s="6" t="n">
        <v>110.329739880473</v>
      </c>
    </row>
    <row r="6" customFormat="false" ht="15" hidden="false" customHeight="false" outlineLevel="0" collapsed="false">
      <c r="A6" s="2" t="s">
        <v>196</v>
      </c>
      <c r="B6" s="6" t="n">
        <v>105.719439578505</v>
      </c>
      <c r="C6" s="6" t="n">
        <v>82.9011413315392</v>
      </c>
      <c r="D6" s="6" t="n">
        <v>125.713204895796</v>
      </c>
    </row>
    <row r="7" customFormat="false" ht="15" hidden="false" customHeight="false" outlineLevel="0" collapsed="false">
      <c r="A7" s="2" t="s">
        <v>197</v>
      </c>
      <c r="B7" s="6" t="n">
        <v>118.949656097803</v>
      </c>
      <c r="C7" s="6" t="n">
        <v>93.1250972785938</v>
      </c>
      <c r="D7" s="6" t="n">
        <v>147.223558251551</v>
      </c>
    </row>
    <row r="8" customFormat="false" ht="15" hidden="false" customHeight="false" outlineLevel="0" collapsed="false">
      <c r="A8" s="2" t="s">
        <v>198</v>
      </c>
      <c r="B8" s="6" t="n">
        <v>116.020873413452</v>
      </c>
      <c r="C8" s="6" t="n">
        <v>96.5975998309884</v>
      </c>
      <c r="D8" s="6" t="n">
        <v>136.45687140309</v>
      </c>
    </row>
    <row r="9" customFormat="false" ht="15" hidden="false" customHeight="false" outlineLevel="0" collapsed="false">
      <c r="A9" s="2" t="s">
        <v>199</v>
      </c>
      <c r="B9" s="6" t="n">
        <v>95.2406718824564</v>
      </c>
      <c r="C9" s="6" t="n">
        <v>79.9129018572248</v>
      </c>
      <c r="D9" s="6" t="n">
        <v>112.82688803359</v>
      </c>
    </row>
    <row r="10" customFormat="false" ht="15" hidden="false" customHeight="false" outlineLevel="0" collapsed="false">
      <c r="A10" s="2" t="s">
        <v>200</v>
      </c>
      <c r="B10" s="6" t="n">
        <v>91.4152567693144</v>
      </c>
      <c r="C10" s="6" t="n">
        <v>74.7719263664842</v>
      </c>
      <c r="D10" s="6" t="n">
        <v>108.319160475409</v>
      </c>
    </row>
    <row r="11" customFormat="false" ht="15" hidden="false" customHeight="false" outlineLevel="0" collapsed="false">
      <c r="A11" s="2" t="s">
        <v>201</v>
      </c>
      <c r="B11" s="6" t="n">
        <v>92.2105919807888</v>
      </c>
      <c r="C11" s="6" t="n">
        <v>74.7928373121796</v>
      </c>
      <c r="D11" s="6" t="n">
        <v>111.379908871255</v>
      </c>
    </row>
    <row r="12" customFormat="false" ht="15" hidden="false" customHeight="false" outlineLevel="0" collapsed="false">
      <c r="A12" s="2" t="s">
        <v>202</v>
      </c>
      <c r="B12" s="6" t="n">
        <v>95.9876187223129</v>
      </c>
      <c r="C12" s="6" t="n">
        <v>77.9072327148416</v>
      </c>
      <c r="D12" s="6" t="n">
        <v>112.457520410286</v>
      </c>
    </row>
    <row r="13" customFormat="false" ht="15" hidden="false" customHeight="false" outlineLevel="0" collapsed="false">
      <c r="A13" s="2" t="s">
        <v>203</v>
      </c>
      <c r="B13" s="6" t="n">
        <v>106.161559923081</v>
      </c>
      <c r="C13" s="6" t="n">
        <v>91.6874351967475</v>
      </c>
      <c r="D13" s="6" t="n">
        <v>120.529434321635</v>
      </c>
    </row>
    <row r="14" customFormat="false" ht="15" hidden="false" customHeight="false" outlineLevel="0" collapsed="false">
      <c r="A14" s="2" t="s">
        <v>204</v>
      </c>
      <c r="B14" s="6" t="n">
        <v>119.447134176914</v>
      </c>
      <c r="C14" s="6" t="n">
        <v>104.296133044824</v>
      </c>
      <c r="D14" s="6" t="n">
        <v>139.231218186036</v>
      </c>
    </row>
    <row r="15" customFormat="false" ht="15" hidden="false" customHeight="false" outlineLevel="0" collapsed="false">
      <c r="A15" s="2" t="s">
        <v>205</v>
      </c>
      <c r="B15" s="6" t="n">
        <v>116.506130624106</v>
      </c>
      <c r="C15" s="6" t="n">
        <v>88.4671628691958</v>
      </c>
      <c r="D15" s="6" t="n">
        <v>142.576617484002</v>
      </c>
    </row>
    <row r="16" customFormat="false" ht="15" hidden="false" customHeight="false" outlineLevel="0" collapsed="false">
      <c r="A16" s="2" t="s">
        <v>206</v>
      </c>
      <c r="B16" s="6" t="n">
        <v>95.6390389465662</v>
      </c>
      <c r="C16" s="6" t="n">
        <v>81.4567126178428</v>
      </c>
      <c r="D16" s="6" t="n">
        <v>113.768489767925</v>
      </c>
    </row>
    <row r="17" customFormat="false" ht="15" hidden="false" customHeight="false" outlineLevel="0" collapsed="false">
      <c r="A17" s="2" t="s">
        <v>207</v>
      </c>
      <c r="B17" s="6" t="n">
        <v>91.7976452175547</v>
      </c>
      <c r="C17" s="6" t="n">
        <v>75.1239238459955</v>
      </c>
      <c r="D17" s="6" t="n">
        <v>107.36857600629</v>
      </c>
    </row>
    <row r="18" customFormat="false" ht="15" hidden="false" customHeight="false" outlineLevel="0" collapsed="false">
      <c r="A18" s="2" t="s">
        <v>208</v>
      </c>
      <c r="B18" s="6" t="n">
        <v>92.5963295996795</v>
      </c>
      <c r="C18" s="6" t="n">
        <v>72.5580490251576</v>
      </c>
      <c r="D18" s="6" t="n">
        <v>112.209329488134</v>
      </c>
    </row>
    <row r="19" customFormat="false" ht="15" hidden="false" customHeight="false" outlineLevel="0" collapsed="false">
      <c r="A19" s="2" t="s">
        <v>209</v>
      </c>
      <c r="B19" s="6" t="n">
        <v>96.3891797029141</v>
      </c>
      <c r="C19" s="6" t="n">
        <v>77.0916507344304</v>
      </c>
      <c r="D19" s="6" t="n">
        <v>111.971855792682</v>
      </c>
    </row>
    <row r="20" customFormat="false" ht="15" hidden="false" customHeight="false" outlineLevel="0" collapsed="false">
      <c r="A20" s="2" t="s">
        <v>210</v>
      </c>
      <c r="B20" s="6" t="n">
        <v>106.60570891573</v>
      </c>
      <c r="C20" s="6" t="n">
        <v>84.9083817378464</v>
      </c>
      <c r="D20" s="6" t="n">
        <v>127.126492168778</v>
      </c>
    </row>
    <row r="21" customFormat="false" ht="15" hidden="false" customHeight="false" outlineLevel="0" collapsed="false">
      <c r="A21" s="2" t="s">
        <v>211</v>
      </c>
      <c r="B21" s="6" t="n">
        <v>119.946895019119</v>
      </c>
      <c r="C21" s="6" t="n">
        <v>92.7497171946006</v>
      </c>
      <c r="D21" s="6" t="n">
        <v>149.279386851181</v>
      </c>
    </row>
    <row r="22" customFormat="false" ht="15" hidden="false" customHeight="false" outlineLevel="0" collapsed="false">
      <c r="A22" s="2" t="s">
        <v>212</v>
      </c>
      <c r="B22" s="6" t="n">
        <v>116.993614626344</v>
      </c>
      <c r="C22" s="6" t="n">
        <v>92.3694695999826</v>
      </c>
      <c r="D22" s="6" t="n">
        <v>137.634990835704</v>
      </c>
    </row>
    <row r="23" customFormat="false" ht="15" hidden="false" customHeight="false" outlineLevel="0" collapsed="false">
      <c r="A23" s="2" t="s">
        <v>213</v>
      </c>
      <c r="B23" s="6" t="n">
        <v>96.0392341600493</v>
      </c>
      <c r="C23" s="6" t="n">
        <v>79.4394844186676</v>
      </c>
      <c r="D23" s="6" t="n">
        <v>113.439794135196</v>
      </c>
    </row>
    <row r="24" customFormat="false" ht="15" hidden="false" customHeight="false" outlineLevel="0" collapsed="false">
      <c r="A24" s="2" t="s">
        <v>214</v>
      </c>
      <c r="B24" s="6" t="n">
        <v>92.181788571135</v>
      </c>
      <c r="C24" s="6" t="n">
        <v>75.2767451447327</v>
      </c>
      <c r="D24" s="6" t="n">
        <v>109.239520974232</v>
      </c>
    </row>
    <row r="25" customFormat="false" ht="15" hidden="false" customHeight="false" outlineLevel="0" collapsed="false">
      <c r="A25" s="2" t="s">
        <v>215</v>
      </c>
      <c r="B25" s="6" t="n">
        <v>92.9838375786361</v>
      </c>
      <c r="C25" s="6" t="n">
        <v>76.1564592354092</v>
      </c>
      <c r="D25" s="6" t="n">
        <v>116.731647037934</v>
      </c>
    </row>
    <row r="26" customFormat="false" ht="15" hidden="false" customHeight="false" outlineLevel="0" collapsed="false">
      <c r="A26" s="2" t="s">
        <v>216</v>
      </c>
      <c r="B26" s="6" t="n">
        <v>96.7925837533557</v>
      </c>
      <c r="C26" s="6" t="n">
        <v>78.0505766190023</v>
      </c>
      <c r="D26" s="6" t="n">
        <v>112.521903711573</v>
      </c>
    </row>
    <row r="27" customFormat="false" ht="15" hidden="false" customHeight="false" outlineLevel="0" collapsed="false">
      <c r="A27" s="2" t="s">
        <v>217</v>
      </c>
      <c r="B27" s="6" t="n">
        <v>107.051896544168</v>
      </c>
      <c r="C27" s="6" t="n">
        <v>92.5632525320108</v>
      </c>
      <c r="D27" s="6" t="n">
        <v>121.26085847783</v>
      </c>
    </row>
    <row r="28" customFormat="false" ht="15" hidden="false" customHeight="false" outlineLevel="0" collapsed="false">
      <c r="A28" s="2" t="s">
        <v>218</v>
      </c>
      <c r="B28" s="6" t="n">
        <v>120.448949863698</v>
      </c>
      <c r="C28" s="6" t="n">
        <v>105.223462428917</v>
      </c>
      <c r="D28" s="6" t="n">
        <v>141.335298362093</v>
      </c>
    </row>
    <row r="29" customFormat="false" ht="15" hidden="false" customHeight="false" outlineLevel="0" collapsed="false">
      <c r="A29" s="2" t="s">
        <v>219</v>
      </c>
      <c r="B29" s="6" t="n">
        <v>117.48333638433</v>
      </c>
      <c r="C29" s="6" t="n">
        <v>92.2105314346657</v>
      </c>
      <c r="D29" s="6" t="n">
        <v>143.549204459183</v>
      </c>
    </row>
    <row r="30" customFormat="false" ht="15" hidden="false" customHeight="false" outlineLevel="0" collapsed="false">
      <c r="A30" s="2"/>
      <c r="B30" s="2"/>
      <c r="C30" s="2"/>
      <c r="D30" s="2"/>
    </row>
    <row r="31" customFormat="false" ht="15" hidden="false" customHeight="false" outlineLevel="0" collapsed="false">
      <c r="A31" s="2" t="s">
        <v>220</v>
      </c>
      <c r="B31" s="4" t="n">
        <f aca="false">SUM(B2:B29)</f>
        <v>2873.90221852621</v>
      </c>
      <c r="C31" s="2"/>
      <c r="D31" s="2"/>
    </row>
    <row r="32" customFormat="false" ht="15" hidden="false" customHeight="false" outlineLevel="0" collapsed="false">
      <c r="A32" s="2" t="s">
        <v>221</v>
      </c>
      <c r="B32" s="2" t="s">
        <v>222</v>
      </c>
      <c r="C32" s="2"/>
      <c r="D3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4"/>
    <col collapsed="false" customWidth="true" hidden="false" outlineLevel="0" max="5" min="3" style="0" width="22"/>
    <col collapsed="false" customWidth="true" hidden="false" outlineLevel="0" max="6" min="6" style="0" width="21"/>
    <col collapsed="false" customWidth="true" hidden="false" outlineLevel="0" max="7" min="7" style="0" width="11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3" t="s">
        <v>223</v>
      </c>
      <c r="B1" s="3" t="s">
        <v>224</v>
      </c>
      <c r="C1" s="3" t="s">
        <v>225</v>
      </c>
      <c r="D1" s="3" t="s">
        <v>184</v>
      </c>
      <c r="E1" s="3" t="s">
        <v>185</v>
      </c>
      <c r="F1" s="3" t="s">
        <v>115</v>
      </c>
      <c r="G1" s="3" t="s">
        <v>226</v>
      </c>
      <c r="H1" s="3" t="s">
        <v>227</v>
      </c>
    </row>
    <row r="2" customFormat="false" ht="15" hidden="false" customHeight="false" outlineLevel="0" collapsed="false">
      <c r="A2" s="2" t="s">
        <v>228</v>
      </c>
      <c r="B2" s="2" t="s">
        <v>229</v>
      </c>
      <c r="C2" s="10" t="n">
        <v>0.418297963518742</v>
      </c>
      <c r="D2" s="10" t="n">
        <v>0.358120890599194</v>
      </c>
      <c r="E2" s="10" t="n">
        <v>0.47847503643829</v>
      </c>
      <c r="F2" s="10" t="n">
        <v>0.4</v>
      </c>
      <c r="G2" s="2" t="s">
        <v>230</v>
      </c>
      <c r="H2" s="2" t="s">
        <v>231</v>
      </c>
    </row>
    <row r="3" customFormat="false" ht="15" hidden="false" customHeight="false" outlineLevel="0" collapsed="false">
      <c r="A3" s="2" t="s">
        <v>228</v>
      </c>
      <c r="B3" s="2" t="s">
        <v>232</v>
      </c>
      <c r="C3" s="10" t="n">
        <v>-0.234575540418342</v>
      </c>
      <c r="D3" s="10" t="n">
        <v>-0.315830497093657</v>
      </c>
      <c r="E3" s="10" t="n">
        <v>-0.153320583743026</v>
      </c>
      <c r="F3" s="10" t="n">
        <v>-0.35</v>
      </c>
      <c r="G3" s="2" t="s">
        <v>230</v>
      </c>
      <c r="H3" s="2" t="s">
        <v>233</v>
      </c>
    </row>
    <row r="4" customFormat="false" ht="15" hidden="false" customHeight="false" outlineLevel="0" collapsed="false">
      <c r="A4" s="2" t="s">
        <v>228</v>
      </c>
      <c r="B4" s="2" t="s">
        <v>234</v>
      </c>
      <c r="C4" s="10" t="n">
        <v>0.209590333958351</v>
      </c>
      <c r="D4" s="10" t="n">
        <v>0.147548298856355</v>
      </c>
      <c r="E4" s="10" t="n">
        <v>0.271632369060347</v>
      </c>
      <c r="F4" s="10" t="n">
        <v>0.18</v>
      </c>
      <c r="G4" s="2" t="s">
        <v>230</v>
      </c>
      <c r="H4" s="2" t="s">
        <v>231</v>
      </c>
    </row>
    <row r="5" customFormat="false" ht="15" hidden="false" customHeight="false" outlineLevel="0" collapsed="false">
      <c r="A5" s="2" t="s">
        <v>228</v>
      </c>
      <c r="B5" s="2" t="s">
        <v>235</v>
      </c>
      <c r="C5" s="10" t="n">
        <v>0.071231488389004</v>
      </c>
      <c r="D5" s="10" t="n">
        <v>0.0132650594958133</v>
      </c>
      <c r="E5" s="10" t="n">
        <v>0.129197917282195</v>
      </c>
      <c r="F5" s="10" t="n">
        <v>0.08</v>
      </c>
      <c r="G5" s="2" t="s">
        <v>230</v>
      </c>
      <c r="H5" s="2" t="s">
        <v>231</v>
      </c>
    </row>
    <row r="6" customFormat="false" ht="15" hidden="false" customHeight="false" outlineLevel="0" collapsed="false">
      <c r="A6" s="2" t="s">
        <v>228</v>
      </c>
      <c r="B6" s="2" t="s">
        <v>236</v>
      </c>
      <c r="C6" s="10" t="n">
        <v>0.271821635383744</v>
      </c>
      <c r="D6" s="10" t="n">
        <v>0.225796834643096</v>
      </c>
      <c r="E6" s="10" t="n">
        <v>0.317846436124392</v>
      </c>
      <c r="F6" s="10" t="n">
        <v>0.25</v>
      </c>
      <c r="G6" s="2" t="s">
        <v>230</v>
      </c>
      <c r="H6" s="2" t="s">
        <v>231</v>
      </c>
    </row>
    <row r="7" customFormat="false" ht="15" hidden="false" customHeight="false" outlineLevel="0" collapsed="false">
      <c r="A7" s="2" t="s">
        <v>228</v>
      </c>
      <c r="B7" s="2" t="s">
        <v>237</v>
      </c>
      <c r="C7" s="10" t="n">
        <v>-0.240461189607779</v>
      </c>
      <c r="D7" s="10" t="n">
        <v>-0.301190584036645</v>
      </c>
      <c r="E7" s="10" t="n">
        <v>-0.179731795178913</v>
      </c>
      <c r="F7" s="10" t="n">
        <v>-0.25</v>
      </c>
      <c r="G7" s="2" t="s">
        <v>230</v>
      </c>
      <c r="H7" s="2" t="s">
        <v>231</v>
      </c>
    </row>
    <row r="8" customFormat="false" ht="15" hidden="false" customHeight="false" outlineLevel="0" collapsed="false">
      <c r="A8" s="2" t="s">
        <v>228</v>
      </c>
      <c r="B8" s="2" t="s">
        <v>238</v>
      </c>
      <c r="C8" s="10" t="n">
        <v>-0.204907219672794</v>
      </c>
      <c r="D8" s="10" t="n">
        <v>-0.253204079352484</v>
      </c>
      <c r="E8" s="10" t="n">
        <v>-0.156610359993104</v>
      </c>
      <c r="F8" s="10" t="n">
        <v>-0.15</v>
      </c>
      <c r="G8" s="2" t="s">
        <v>230</v>
      </c>
      <c r="H8" s="2" t="s">
        <v>233</v>
      </c>
    </row>
    <row r="9" customFormat="false" ht="15" hidden="false" customHeight="false" outlineLevel="0" collapsed="false">
      <c r="A9" s="2" t="s">
        <v>228</v>
      </c>
      <c r="B9" s="2" t="s">
        <v>239</v>
      </c>
      <c r="C9" s="10" t="n">
        <v>0.0034349257771157</v>
      </c>
      <c r="D9" s="10" t="n">
        <v>-0.0496389374504494</v>
      </c>
      <c r="E9" s="10" t="n">
        <v>0.0565087890046808</v>
      </c>
      <c r="F9" s="10" t="n">
        <v>0.1</v>
      </c>
      <c r="G9" s="2" t="s">
        <v>230</v>
      </c>
      <c r="H9" s="2" t="s">
        <v>233</v>
      </c>
    </row>
    <row r="10" customFormat="false" ht="15" hidden="false" customHeight="false" outlineLevel="0" collapsed="false">
      <c r="A10" s="2" t="s">
        <v>228</v>
      </c>
      <c r="B10" s="2" t="s">
        <v>240</v>
      </c>
      <c r="C10" s="10" t="n">
        <v>-0.579851784651201</v>
      </c>
      <c r="D10" s="10" t="n">
        <v>-0.619289183247982</v>
      </c>
      <c r="E10" s="10" t="n">
        <v>-0.54041438605442</v>
      </c>
      <c r="F10" s="10" t="n">
        <v>-0.45</v>
      </c>
      <c r="G10" s="2" t="s">
        <v>230</v>
      </c>
      <c r="H10" s="2" t="s">
        <v>233</v>
      </c>
    </row>
    <row r="11" customFormat="false" ht="15" hidden="false" customHeight="false" outlineLevel="0" collapsed="false">
      <c r="A11" s="2" t="s">
        <v>228</v>
      </c>
      <c r="B11" s="2" t="s">
        <v>241</v>
      </c>
      <c r="C11" s="10" t="n">
        <v>0.248808237539985</v>
      </c>
      <c r="D11" s="10" t="n">
        <v>0.200240184504436</v>
      </c>
      <c r="E11" s="10" t="n">
        <v>0.297376290575533</v>
      </c>
      <c r="F11" s="10" t="n">
        <v>0.28</v>
      </c>
      <c r="G11" s="2" t="s">
        <v>230</v>
      </c>
      <c r="H11" s="2" t="s">
        <v>231</v>
      </c>
    </row>
    <row r="12" customFormat="false" ht="15" hidden="false" customHeight="false" outlineLevel="0" collapsed="false">
      <c r="A12" s="2" t="s">
        <v>228</v>
      </c>
      <c r="B12" s="2" t="s">
        <v>242</v>
      </c>
      <c r="C12" s="10" t="n">
        <v>0.134086346067452</v>
      </c>
      <c r="D12" s="10" t="n">
        <v>0.0891608614248905</v>
      </c>
      <c r="E12" s="10" t="n">
        <v>0.179011830710013</v>
      </c>
      <c r="F12" s="10" t="n">
        <v>0.15</v>
      </c>
      <c r="G12" s="2" t="s">
        <v>230</v>
      </c>
      <c r="H12" s="2" t="s">
        <v>231</v>
      </c>
    </row>
    <row r="13" customFormat="false" ht="15" hidden="false" customHeight="false" outlineLevel="0" collapsed="false">
      <c r="A13" s="2" t="s">
        <v>243</v>
      </c>
      <c r="B13" s="2" t="s">
        <v>244</v>
      </c>
      <c r="C13" s="10" t="n">
        <v>-6.80010075371529</v>
      </c>
      <c r="D13" s="10" t="n">
        <v>-11.1227693708706</v>
      </c>
      <c r="E13" s="10" t="n">
        <v>-2.56966053748232</v>
      </c>
      <c r="F13" s="10" t="n">
        <v>-6.93</v>
      </c>
      <c r="G13" s="2" t="s">
        <v>245</v>
      </c>
      <c r="H13" s="2" t="s">
        <v>231</v>
      </c>
    </row>
    <row r="14" customFormat="false" ht="15" hidden="false" customHeight="false" outlineLevel="0" collapsed="false">
      <c r="A14" s="2" t="s">
        <v>243</v>
      </c>
      <c r="B14" s="2" t="s">
        <v>246</v>
      </c>
      <c r="C14" s="10" t="n">
        <v>-30.0225024857397</v>
      </c>
      <c r="D14" s="10" t="n">
        <v>-37.8704197732743</v>
      </c>
      <c r="E14" s="10" t="n">
        <v>-22.1745851982051</v>
      </c>
      <c r="F14" s="10" t="n">
        <v>-30.46</v>
      </c>
      <c r="G14" s="2" t="s">
        <v>245</v>
      </c>
      <c r="H14" s="2" t="s">
        <v>231</v>
      </c>
    </row>
    <row r="15" customFormat="false" ht="15" hidden="false" customHeight="false" outlineLevel="0" collapsed="false">
      <c r="A15" s="2" t="s">
        <v>243</v>
      </c>
      <c r="B15" s="2" t="s">
        <v>247</v>
      </c>
      <c r="C15" s="10" t="n">
        <v>-1.16789092638588</v>
      </c>
      <c r="D15" s="10" t="n">
        <v>-3.3448620671003</v>
      </c>
      <c r="E15" s="10" t="n">
        <v>1.00908021432854</v>
      </c>
      <c r="F15" s="10" t="n">
        <v>0</v>
      </c>
      <c r="G15" s="2" t="s">
        <v>245</v>
      </c>
      <c r="H15" s="2" t="s">
        <v>231</v>
      </c>
    </row>
    <row r="16" customFormat="false" ht="15" hidden="false" customHeight="false" outlineLevel="0" collapsed="false">
      <c r="A16" s="2" t="s">
        <v>243</v>
      </c>
      <c r="B16" s="2" t="s">
        <v>248</v>
      </c>
      <c r="C16" s="10" t="n">
        <v>-8.3010514665191</v>
      </c>
      <c r="D16" s="10" t="n">
        <v>-19.8481049317701</v>
      </c>
      <c r="E16" s="10" t="n">
        <v>3.24600199873193</v>
      </c>
      <c r="F16" s="10" t="n">
        <v>0</v>
      </c>
      <c r="G16" s="2" t="s">
        <v>245</v>
      </c>
      <c r="H16" s="2" t="s">
        <v>231</v>
      </c>
    </row>
    <row r="17" customFormat="false" ht="15" hidden="false" customHeight="false" outlineLevel="0" collapsed="false">
      <c r="A17" s="2" t="s">
        <v>243</v>
      </c>
      <c r="B17" s="2" t="s">
        <v>249</v>
      </c>
      <c r="C17" s="10" t="n">
        <v>15.042735042735</v>
      </c>
      <c r="D17" s="10" t="n">
        <v>3.17795279321912</v>
      </c>
      <c r="E17" s="10" t="n">
        <v>26.907517292251</v>
      </c>
      <c r="F17" s="10" t="n">
        <v>9.4</v>
      </c>
      <c r="G17" s="2" t="s">
        <v>245</v>
      </c>
      <c r="H17" s="2" t="s">
        <v>231</v>
      </c>
    </row>
    <row r="18" customFormat="false" ht="15" hidden="false" customHeight="false" outlineLevel="0" collapsed="false">
      <c r="A18" s="2" t="s">
        <v>250</v>
      </c>
      <c r="B18" s="2" t="s">
        <v>251</v>
      </c>
      <c r="C18" s="10" t="n">
        <v>0.240079058402241</v>
      </c>
      <c r="D18" s="10" t="n">
        <v>0.1320461552362</v>
      </c>
      <c r="E18" s="10" t="n">
        <v>0.367428032716397</v>
      </c>
      <c r="F18" s="10" t="n">
        <v>0.3332</v>
      </c>
      <c r="G18" s="2" t="s">
        <v>245</v>
      </c>
      <c r="H18" s="2" t="s">
        <v>231</v>
      </c>
    </row>
    <row r="19" customFormat="false" ht="15" hidden="false" customHeight="false" outlineLevel="0" collapsed="false">
      <c r="A19" s="2" t="s">
        <v>250</v>
      </c>
      <c r="B19" s="2" t="s">
        <v>252</v>
      </c>
      <c r="C19" s="10" t="n">
        <v>0.0208099846469885</v>
      </c>
      <c r="D19" s="10"/>
      <c r="E19" s="10"/>
      <c r="F19" s="10" t="n">
        <v>0.3332</v>
      </c>
      <c r="G19" s="2" t="s">
        <v>245</v>
      </c>
      <c r="H19" s="2"/>
    </row>
    <row r="20" customFormat="false" ht="15" hidden="false" customHeight="false" outlineLevel="0" collapsed="false">
      <c r="A20" s="2" t="s">
        <v>253</v>
      </c>
      <c r="B20" s="2" t="s">
        <v>254</v>
      </c>
      <c r="C20" s="10" t="n">
        <v>634</v>
      </c>
      <c r="D20" s="10"/>
      <c r="E20" s="10"/>
      <c r="F20" s="10" t="n">
        <v>634</v>
      </c>
      <c r="G20" s="2" t="s">
        <v>255</v>
      </c>
      <c r="H20" s="2" t="s">
        <v>231</v>
      </c>
    </row>
    <row r="21" customFormat="false" ht="15" hidden="false" customHeight="false" outlineLevel="0" collapsed="false">
      <c r="A21" s="2" t="s">
        <v>253</v>
      </c>
      <c r="B21" s="2" t="s">
        <v>256</v>
      </c>
      <c r="C21" s="10" t="n">
        <v>40</v>
      </c>
      <c r="D21" s="10"/>
      <c r="E21" s="10"/>
      <c r="F21" s="10" t="n">
        <v>40</v>
      </c>
      <c r="G21" s="2" t="s">
        <v>255</v>
      </c>
      <c r="H21" s="2" t="s">
        <v>231</v>
      </c>
    </row>
    <row r="22" customFormat="false" ht="15" hidden="false" customHeight="false" outlineLevel="0" collapsed="false">
      <c r="A22" s="2" t="s">
        <v>253</v>
      </c>
      <c r="B22" s="2" t="s">
        <v>257</v>
      </c>
      <c r="C22" s="10" t="n">
        <v>30</v>
      </c>
      <c r="D22" s="10"/>
      <c r="E22" s="10"/>
      <c r="F22" s="10" t="n">
        <v>30</v>
      </c>
      <c r="G22" s="2" t="s">
        <v>255</v>
      </c>
      <c r="H22" s="2" t="s">
        <v>231</v>
      </c>
    </row>
    <row r="23" customFormat="false" ht="15" hidden="false" customHeight="false" outlineLevel="0" collapsed="false">
      <c r="A23" s="2" t="s">
        <v>253</v>
      </c>
      <c r="B23" s="2" t="s">
        <v>258</v>
      </c>
      <c r="C23" s="10" t="n">
        <v>854</v>
      </c>
      <c r="D23" s="10"/>
      <c r="E23" s="10"/>
      <c r="F23" s="10" t="n">
        <v>854</v>
      </c>
      <c r="G23" s="2" t="s">
        <v>255</v>
      </c>
      <c r="H23" s="2" t="s">
        <v>231</v>
      </c>
    </row>
    <row r="24" customFormat="false" ht="15" hidden="false" customHeight="false" outlineLevel="0" collapsed="false">
      <c r="A24" s="2" t="s">
        <v>253</v>
      </c>
      <c r="B24" s="2" t="s">
        <v>259</v>
      </c>
      <c r="C24" s="10" t="n">
        <v>25</v>
      </c>
      <c r="D24" s="10"/>
      <c r="E24" s="10"/>
      <c r="F24" s="10" t="n">
        <v>25</v>
      </c>
      <c r="G24" s="2" t="s">
        <v>255</v>
      </c>
      <c r="H24" s="2" t="s">
        <v>231</v>
      </c>
    </row>
    <row r="25" customFormat="false" ht="15" hidden="false" customHeight="false" outlineLevel="0" collapsed="false">
      <c r="A25" s="2" t="s">
        <v>253</v>
      </c>
      <c r="B25" s="2" t="s">
        <v>260</v>
      </c>
      <c r="C25" s="10" t="n">
        <v>20</v>
      </c>
      <c r="D25" s="10"/>
      <c r="E25" s="10"/>
      <c r="F25" s="10" t="n">
        <v>20</v>
      </c>
      <c r="G25" s="2" t="s">
        <v>255</v>
      </c>
      <c r="H25" s="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2026-10-22T12:10:38Z</dcterms:created>
  <dc:creator>openpyxl</dc:creator>
  <dc:description/>
  <dc:language>en-US</dc:language>
  <cp:lastModifiedBy/>
  <dcterms:modified xsi:type="dcterms:W3CDTF">2026-10-22T12:10:39Z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